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Information" sheetId="2" r:id="rId5"/>
    <sheet name="Test Cases" sheetId="3" r:id="rId6"/>
    <sheet name="常用测试方法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<sst xmlns="http://schemas.openxmlformats.org/spreadsheetml/2006/main" count="426" uniqueCount="426">
  <si>
    <t xml:space="preserve">  </t>
  </si>
  <si>
    <t xml:space="preserve">论文知识管理与智能问答系统测试用例</t>
  </si>
  <si>
    <t xml:space="preserve">项目名称
Project Name</t>
  </si>
  <si>
    <t xml:space="preserve">论文知识管理与智能问答系统</t>
  </si>
  <si>
    <t xml:space="preserve">项目编号
Project ID</t>
  </si>
  <si>
    <t xml:space="preserve">SE26Project-05</t>
  </si>
  <si>
    <t xml:space="preserve">版本
Version</t>
  </si>
  <si>
    <t xml:space="preserve">1.0</t>
  </si>
  <si>
    <t xml:space="preserve">SE26Project-05_STC_001</t>
  </si>
  <si>
    <t xml:space="preserve">拟制
Prepared by</t>
  </si>
  <si>
    <t xml:space="preserve"> 软工原第五小组</t>
  </si>
  <si>
    <t xml:space="preserve">日期
Date</t>
  </si>
  <si>
    <t xml:space="preserve">评审人
Reviewed by</t>
  </si>
  <si>
    <t xml:space="preserve">修订记录 Revision Record</t>
  </si>
  <si>
    <t xml:space="preserve">日期</t>
  </si>
  <si>
    <t xml:space="preserve">修订版本</t>
  </si>
  <si>
    <t xml:space="preserve">修改描述</t>
  </si>
  <si>
    <t xml:space="preserve">作者</t>
  </si>
  <si>
    <t xml:space="preserve">1.00</t>
  </si>
  <si>
    <t xml:space="preserve">依据功能、非功能和进阶需求完成系统测试用例</t>
  </si>
  <si>
    <t xml:space="preserve">项目组</t>
  </si>
  <si>
    <t xml:space="preserve">测试结果分析</t>
  </si>
  <si>
    <t xml:space="preserve">类别</t>
  </si>
  <si>
    <t xml:space="preserve">用例数</t>
  </si>
  <si>
    <t xml:space="preserve">通过数</t>
  </si>
  <si>
    <t xml:space="preserve">通过率</t>
  </si>
  <si>
    <t xml:space="preserve">功能测试</t>
  </si>
  <si>
    <t xml:space="preserve">准确性测试</t>
  </si>
  <si>
    <t xml:space="preserve">性能测试</t>
  </si>
  <si>
    <t xml:space="preserve">可靠性测试</t>
  </si>
  <si>
    <t xml:space="preserve">安全性测试</t>
  </si>
  <si>
    <t xml:space="preserve">兼容性测试</t>
  </si>
  <si>
    <t xml:space="preserve">易用性测试</t>
  </si>
  <si>
    <t xml:space="preserve">部署测试</t>
  </si>
  <si>
    <t xml:space="preserve">合计</t>
  </si>
  <si>
    <t xml:space="preserve">测试用例</t>
  </si>
  <si>
    <t xml:space="preserve">Test Case ID
测试用例编号</t>
  </si>
  <si>
    <t xml:space="preserve">Test Item
测试项</t>
  </si>
  <si>
    <t xml:space="preserve">Test Type
测试类型</t>
  </si>
  <si>
    <t xml:space="preserve">Test Case Title
测试用例标题</t>
  </si>
  <si>
    <t xml:space="preserve">Test Criticality
测试优先级</t>
  </si>
  <si>
    <t xml:space="preserve">Pre-condition
预置条件</t>
  </si>
  <si>
    <t xml:space="preserve">Input &amp; Procedure
输入与操作</t>
  </si>
  <si>
    <t xml:space="preserve">Expected Output
预期结果</t>
  </si>
  <si>
    <t xml:space="preserve">Result
实际结果</t>
  </si>
  <si>
    <t xml:space="preserve">Status
是否通过</t>
  </si>
  <si>
    <t xml:space="preserve">BUG Severity
错误严重等级</t>
  </si>
  <si>
    <t xml:space="preserve">BUG ID
缺陷编号</t>
  </si>
  <si>
    <t xml:space="preserve">Remark
备注</t>
  </si>
  <si>
    <t xml:space="preserve">TC-001</t>
  </si>
  <si>
    <t xml:space="preserve">论文抓取范围配置</t>
  </si>
  <si>
    <t xml:space="preserve">功能测试</t>
  </si>
  <si>
    <t xml:space="preserve">按学科或关键词配置抓取范围</t>
  </si>
  <si>
    <t xml:space="preserve">高</t>
  </si>
  <si>
    <t xml:space="preserve">arXiv服务可访问</t>
  </si>
  <si>
    <t xml:space="preserve">1.新建抓取规则，选择学科cs.AI并填写关键词“knowledge graph”；
2.保存并启用规则；
3.执行一次抓取。</t>
  </si>
  <si>
    <t xml:space="preserve">规则保存成功；仅入库符合学科或关键词条件的论文；规则可停用、修改。</t>
  </si>
  <si>
    <t xml:space="preserve">符合预期结果</t>
  </si>
  <si>
    <t xml:space="preserve">通过</t>
  </si>
  <si>
    <t xml:space="preserve">需求追踪：FR-1.1</t>
  </si>
  <si>
    <t xml:space="preserve">TC-002</t>
  </si>
  <si>
    <t xml:space="preserve">定时抓取任务</t>
  </si>
  <si>
    <t xml:space="preserve">按设定周期自动从arXiv抓取论文</t>
  </si>
  <si>
    <t xml:space="preserve">已启用抓取规则；调度服务正常</t>
  </si>
  <si>
    <t xml:space="preserve">1.设置每日定时任务；
2.等待调度时间或推进测试时钟；
3.查看任务日志与新增论文。</t>
  </si>
  <si>
    <t xml:space="preserve">任务按时启动并结束；日志记录开始、结束、抓取数和异常；符合条件的新论文入库。</t>
  </si>
  <si>
    <t xml:space="preserve">TC-003</t>
  </si>
  <si>
    <t xml:space="preserve">论文元数据入库</t>
  </si>
  <si>
    <t xml:space="preserve">完整保存和展示论文基本信息</t>
  </si>
  <si>
    <t xml:space="preserve">存在包含完整元数据的arXiv论文</t>
  </si>
  <si>
    <t xml:space="preserve">1.抓取目标论文；
2.打开论文列表和详情页；
3.核对标题、作者、摘要、类别、发布时间、原文链接。</t>
  </si>
  <si>
    <t xml:space="preserve">六类基本信息均正确保存并展示；原文链接可访问；作者顺序与来源一致。</t>
  </si>
  <si>
    <t xml:space="preserve">需求追踪：FR-1.2</t>
  </si>
  <si>
    <t xml:space="preserve">TC-004</t>
  </si>
  <si>
    <t xml:space="preserve">多维分类管理</t>
  </si>
  <si>
    <t xml:space="preserve">按主题、作者和时间分类浏览论文</t>
  </si>
  <si>
    <t xml:space="preserve">知识库已有跨主题、跨作者、跨年份论文</t>
  </si>
  <si>
    <t xml:space="preserve">1.分别进入主题、作者、时间分类；
2.选择一个分类；
3.核对结果集。</t>
  </si>
  <si>
    <t xml:space="preserve">分类入口可用；每类结果与论文元数据一致；切换分类不会产生重复记录。</t>
  </si>
  <si>
    <t xml:space="preserve"> 符合预期结果</t>
  </si>
  <si>
    <t xml:space="preserve">TC-005</t>
  </si>
  <si>
    <t xml:space="preserve">精确去重</t>
  </si>
  <si>
    <t xml:space="preserve">相同arXiv ID论文重复抓取不重复入库</t>
  </si>
  <si>
    <t xml:space="preserve">目标论文已入库</t>
  </si>
  <si>
    <t xml:space="preserve">1.再次执行覆盖该论文的抓取任务；
2.查询该arXiv ID；
3.检查抓取日志。</t>
  </si>
  <si>
    <t xml:space="preserve">库中仍只有一条记录；允许更新变更的元数据；日志标识为重复或更新。</t>
  </si>
  <si>
    <t xml:space="preserve">TC-006</t>
  </si>
  <si>
    <t xml:space="preserve">PDF结构化解析</t>
  </si>
  <si>
    <t xml:space="preserve">从PDF生成summary.md</t>
  </si>
  <si>
    <t xml:space="preserve">论文PDF可下载且文本可解析</t>
  </si>
  <si>
    <t xml:space="preserve">1.触发论文解析；
2.等待任务完成；
3.打开summary.md。</t>
  </si>
  <si>
    <t xml:space="preserve">生成非空summary.md；内容覆盖研究背景、问题、方法和主要结论；与原文一致。</t>
  </si>
  <si>
    <t xml:space="preserve">需求追踪：FR-2.1</t>
  </si>
  <si>
    <t xml:space="preserve">TC-007</t>
  </si>
  <si>
    <t xml:space="preserve">概念文档生成</t>
  </si>
  <si>
    <t xml:space="preserve">手动触发解析，生成concept.md并提取核心概念</t>
  </si>
  <si>
    <t xml:space="preserve">论文解析成功</t>
  </si>
  <si>
    <t xml:space="preserve">1.打开concept.md；
2.核对核心概念、定义与原文位置；
3.检查概念标签。</t>
  </si>
  <si>
    <t xml:space="preserve">concept.md生成成功；核心概念、解释和来源位置完整；概念标签可用于检索。</t>
  </si>
  <si>
    <t xml:space="preserve">需求追踪：FR-2.1/2.2</t>
  </si>
  <si>
    <t xml:space="preserve">TC-008</t>
  </si>
  <si>
    <t xml:space="preserve">研究方法结构化内容生成</t>
  </si>
  <si>
    <t xml:space="preserve">自动生成论文研究方法的结构化 Markdown 内容</t>
  </si>
  <si>
    <t xml:space="preserve">论文解析成功且原文包含方法章节</t>
  </si>
  <si>
    <t xml:space="preserve">1. 打开已解析论文的详情页；                       2. 切换到“研究方法”页签；                            3. 检查方法内容是否正常展示；                     4. 对照原文核对主要方法、关键步骤，以及原文明确提供的数据集和评价指标</t>
  </si>
  <si>
    <t xml:space="preserve">“研究方法”页签能够正常打开；方法内容采用标题和有序列表展示，结构清晰；能够提取论文的主要方法和关键步骤；原文明确包含的数据集与评价指标能够被合理提取；生成内容与原文基本一致，不出现明显臆造；原文未提供的数据集或指标不强制生成</t>
  </si>
  <si>
    <t xml:space="preserve">TC-009</t>
  </si>
  <si>
    <t xml:space="preserve">知识要素抽取</t>
  </si>
  <si>
    <t xml:space="preserve">抽取研究问题、方法和实验结论</t>
  </si>
  <si>
    <t xml:space="preserve">准备带人工标注答案的论文样本</t>
  </si>
  <si>
    <t xml:space="preserve">1.执行知识抽取；
2.查看结构化字段；
3.与人工标注逐项比对。</t>
  </si>
  <si>
    <t xml:space="preserve">研究问题、主要贡献、研究方法和实验结果能够以结构化 Markdown 内容展示；核心内容与原文基本一致，关键实验数值准确，原文未提供的信息不应臆造。</t>
  </si>
  <si>
    <t xml:space="preserve">需求追踪：FR-2.2</t>
  </si>
  <si>
    <t xml:space="preserve">TC-010</t>
  </si>
  <si>
    <t xml:space="preserve">概念关联建立</t>
  </si>
  <si>
    <t xml:space="preserve">建立论文内及跨论文概念关联</t>
  </si>
  <si>
    <t xml:space="preserve">至少两篇论文包含相同或上下位概念</t>
  </si>
  <si>
    <t xml:space="preserve">1.完成两篇论文解析；
2.打开概念关系视图；
3.检查关系类型及来源。</t>
  </si>
  <si>
    <t xml:space="preserve">生成合理的同义、上下位或相关关系；每条关系可追溯到论文与内容位置。</t>
  </si>
  <si>
    <t xml:space="preserve">TC-011</t>
  </si>
  <si>
    <t xml:space="preserve">解析异常处理</t>
  </si>
  <si>
    <t xml:space="preserve">损坏或扫描型PDF解析失败可见且可重试</t>
  </si>
  <si>
    <t xml:space="preserve">中</t>
  </si>
  <si>
    <t xml:space="preserve">准备损坏PDF和无OCR文本PDF</t>
  </si>
  <si>
    <t xml:space="preserve">1.分别提交解析；
2.观察状态与提示；
3.修复文件后点击重试。</t>
  </si>
  <si>
    <t xml:space="preserve">任务不假成功；显示明确失败原因；重试后可恢复；已生成内容不被错误覆盖。</t>
  </si>
  <si>
    <t xml:space="preserve">TC-012</t>
  </si>
  <si>
    <t xml:space="preserve">标题检索</t>
  </si>
  <si>
    <t xml:space="preserve">按完整或部分标题检索论文</t>
  </si>
  <si>
    <t xml:space="preserve">知识库已有目标论文</t>
  </si>
  <si>
    <t xml:space="preserve">1.输入完整标题检索；
2.输入连续部分标题检索；
3.输入不存在标题。</t>
  </si>
  <si>
    <t xml:space="preserve">完整和部分标题均命中目标；结果高亮关键词；不存在时返回空态而非错误。</t>
  </si>
  <si>
    <t xml:space="preserve">需求追踪：FR-3.1</t>
  </si>
  <si>
    <t xml:space="preserve">TC-013</t>
  </si>
  <si>
    <t xml:space="preserve">作者检索</t>
  </si>
  <si>
    <t xml:space="preserve">按作者姓名检索论文</t>
  </si>
  <si>
    <t xml:space="preserve">知识库包含同名及多作者论文</t>
  </si>
  <si>
    <t xml:space="preserve">1.输入作者全名；
2.输入姓名片段；
3.核对多作者论文。</t>
  </si>
  <si>
    <t xml:space="preserve">返回该作者相关论文；多作者论文不遗漏；结果可继续筛选和排序。</t>
  </si>
  <si>
    <t xml:space="preserve">TC-014</t>
  </si>
  <si>
    <t xml:space="preserve">多条件检索</t>
  </si>
  <si>
    <t xml:space="preserve">按关键词、研究方向组合检索</t>
  </si>
  <si>
    <t xml:space="preserve">知识库已有多主题论文</t>
  </si>
  <si>
    <t xml:space="preserve">1.分别按关键词、研究方向检索；
2.组合两个以上条件；
3.清除筛选。</t>
  </si>
  <si>
    <t xml:space="preserve">单条件结果正确；组合条件按界面约定的逻辑过滤；清除后恢复完整结果。</t>
  </si>
  <si>
    <t xml:space="preserve">TC-015</t>
  </si>
  <si>
    <t xml:space="preserve">结果排序分页</t>
  </si>
  <si>
    <t xml:space="preserve">检索结果按时间排列并分页</t>
  </si>
  <si>
    <t xml:space="preserve">检索结果超过一页</t>
  </si>
  <si>
    <t xml:space="preserve">1.按发布时间排序；
2.翻页；
3.返回上一页。</t>
  </si>
  <si>
    <t xml:space="preserve">排序顺序正确且稳定；翻页无重复、无遗漏；筛选条件与页码状态符合设计。</t>
  </si>
  <si>
    <t xml:space="preserve">TC-016</t>
  </si>
  <si>
    <t xml:space="preserve">论文详情查看</t>
  </si>
  <si>
    <t xml:space="preserve">查看论文详情及结构化知识内容</t>
  </si>
  <si>
    <t xml:space="preserve">目标论文已完成解析</t>
  </si>
  <si>
    <t xml:space="preserve">1.从结果列表打开详情；
2.查看元数据、摘要、概念和方法；
3.打开原文链接。</t>
  </si>
  <si>
    <t xml:space="preserve">详情内容完整；结构化文档可切换；原文链接正确；不存在字段有明确空态。</t>
  </si>
  <si>
    <t xml:space="preserve">需求追踪：FR-1.2/3.1</t>
  </si>
  <si>
    <t xml:space="preserve">TC-017</t>
  </si>
  <si>
    <t xml:space="preserve">引用关系查看</t>
  </si>
  <si>
    <t xml:space="preserve">查看论文之间的引用关系</t>
  </si>
  <si>
    <t xml:space="preserve">知识库中存在已知引用链</t>
  </si>
  <si>
    <t xml:space="preserve">1.打开目标论文关系视图；
2.查看引用与关联论文；
3.点击节点跳转。</t>
  </si>
  <si>
    <t xml:space="preserve">能看到正确的引用与关联论文；点击可进入对应论文详情。</t>
  </si>
  <si>
    <t xml:space="preserve">需求追踪：FR-3.2</t>
  </si>
  <si>
    <t xml:space="preserve">TC-018</t>
  </si>
  <si>
    <t xml:space="preserve">主题与概念关系查看</t>
  </si>
  <si>
    <t xml:space="preserve">查看论文的主题关联和概念关联</t>
  </si>
  <si>
    <t xml:space="preserve">多篇论文已有主题和概念关系</t>
  </si>
  <si>
    <t xml:space="preserve">1. 打开已解析论文详情页
2. 往下翻到 "关联概念" 卡片
3. 检查概念名称、描述、相关度列
4. 点击概念名称，确认能跳转到 Wiki 概念详情</t>
  </si>
  <si>
    <t xml:space="preserve">显示该论文关联的概念；点击可跳转</t>
  </si>
  <si>
    <t xml:space="preserve">TC-019</t>
  </si>
  <si>
    <t xml:space="preserve">论文内容问答</t>
  </si>
  <si>
    <t xml:space="preserve">围绕论文内容提问并返回有出处的答案</t>
  </si>
  <si>
    <t xml:space="preserve">目标论文已入库并建立索引</t>
  </si>
  <si>
    <t xml:space="preserve">1.选择目标论文；
2.询问其主要贡献；
3.查看答案引用。</t>
  </si>
  <si>
    <t xml:space="preserve">答案基于论文内容；至少给出论文标题及页码/章节/段落定位；引用可打开。</t>
  </si>
  <si>
    <t xml:space="preserve">建议</t>
  </si>
  <si>
    <t xml:space="preserve">需求追踪：FR-4.1/4.2</t>
  </si>
  <si>
    <t xml:space="preserve">TC-020</t>
  </si>
  <si>
    <t xml:space="preserve">概念解释问答</t>
  </si>
  <si>
    <t xml:space="preserve">询问核心概念并结合论文语境解释</t>
  </si>
  <si>
    <t xml:space="preserve">知识库包含目标概念及关联论文</t>
  </si>
  <si>
    <t xml:space="preserve">1.询问某个概念是什么意思；
2.继续追问与相关概念的区别；
3.查看出处。</t>
  </si>
  <si>
    <t xml:space="preserve">回答说明概念及语境；追问保持上下文；每个关键结论有可核验出处。</t>
  </si>
  <si>
    <t xml:space="preserve">TC-021</t>
  </si>
  <si>
    <t xml:space="preserve">方法与研究脉络问答</t>
  </si>
  <si>
    <t xml:space="preserve">比较研究方法并回答研究脉络问题</t>
  </si>
  <si>
    <t xml:space="preserve">知识库有同主题多篇论文</t>
  </si>
  <si>
    <t xml:space="preserve">1.询问两篇论文方法差异；
2.询问该主题方法演进；
3.检查引用清单。</t>
  </si>
  <si>
    <t xml:space="preserve">答案包含可核对的比较维度和时间脉络；不混淆论文；引用覆盖关键判断。</t>
  </si>
  <si>
    <t xml:space="preserve">需求追踪：FR-4.1/AR-1</t>
  </si>
  <si>
    <t xml:space="preserve">TC-022</t>
  </si>
  <si>
    <t xml:space="preserve">内容定位</t>
  </si>
  <si>
    <t xml:space="preserve">从问答引用跳转到对应原文位置</t>
  </si>
  <si>
    <t xml:space="preserve">问答已返回至少一条引用</t>
  </si>
  <si>
    <t xml:space="preserve">1.点击引用；
2.核对打开的论文及页码/段落；
3.返回问答页面。</t>
  </si>
  <si>
    <t xml:space="preserve">定位到支持该答案的原文内容；高亮或上下文足以核验；返回后会话保留。</t>
  </si>
  <si>
    <t xml:space="preserve">需求追踪：FR-4.2</t>
  </si>
  <si>
    <t xml:space="preserve">TC-023</t>
  </si>
  <si>
    <t xml:space="preserve">无依据问题处理</t>
  </si>
  <si>
    <t xml:space="preserve">知识库无充分证据时拒绝臆造</t>
  </si>
  <si>
    <t xml:space="preserve">知识库不包含问题所需事实</t>
  </si>
  <si>
    <t xml:space="preserve">1.提出知识库外的具体事实问题；
2.要求给出出处；
3.观察回答。</t>
  </si>
  <si>
    <t xml:space="preserve">明确说明证据不足或未收录；不生成虚假论文或定位；可建议相关检索。</t>
  </si>
  <si>
    <t xml:space="preserve">TC-024</t>
  </si>
  <si>
    <t xml:space="preserve">论文收藏</t>
  </si>
  <si>
    <t xml:space="preserve">收藏和取消收藏论文</t>
  </si>
  <si>
    <t xml:space="preserve">用户已登录；目标论文存在</t>
  </si>
  <si>
    <t xml:space="preserve">1.在列表收藏论文；
2.进入收藏列表核对；
3.取消收藏。</t>
  </si>
  <si>
    <t xml:space="preserve">收藏状态跨页面一致且持久化；收藏列表出现目标论文；取消后移除且不删除论文。</t>
  </si>
  <si>
    <t xml:space="preserve">需求追踪：FR-5.1</t>
  </si>
  <si>
    <t xml:space="preserve">TC-025</t>
  </si>
  <si>
    <t xml:space="preserve">论文笔记</t>
  </si>
  <si>
    <t xml:space="preserve">新增、编辑和删除论文笔记</t>
  </si>
  <si>
    <t xml:space="preserve">1.新增含多行文本的笔记；
2.编辑并保存；
3.删除笔记。</t>
  </si>
  <si>
    <t xml:space="preserve">各操作成功且内容正确；刷新后仍保留；删除前有确认；笔记仅对授权用户可见。</t>
  </si>
  <si>
    <t xml:space="preserve">TC-026</t>
  </si>
  <si>
    <t xml:space="preserve">对比阅读</t>
  </si>
  <si>
    <t xml:space="preserve">选择多篇论文进行对比阅读</t>
  </si>
  <si>
    <t xml:space="preserve">至少三篇论文已完成解析</t>
  </si>
  <si>
    <t xml:space="preserve">1.从列表选择2至3篇论文；
2.进入对比阅读；
3.切换摘要、概念、方法维度。</t>
  </si>
  <si>
    <t xml:space="preserve">并排显示所选论文；维度切换同步；差异清晰；移除论文后布局正常。</t>
  </si>
  <si>
    <t xml:space="preserve">TC-027</t>
  </si>
  <si>
    <t xml:space="preserve">阅读历史</t>
  </si>
  <si>
    <t xml:space="preserve">自动记录并管理阅读历史</t>
  </si>
  <si>
    <t xml:space="preserve">用户已登录</t>
  </si>
  <si>
    <t xml:space="preserve">1.依次打开多篇论文；
2.进入阅读历史；
3.重复打开一篇论文。</t>
  </si>
  <si>
    <t xml:space="preserve">记录论文与最近阅读时间；按最近时间排序；重复阅读更新记录而非无限重复。</t>
  </si>
  <si>
    <t xml:space="preserve">需求追踪：FR-5.2</t>
  </si>
  <si>
    <t xml:space="preserve">TC-028</t>
  </si>
  <si>
    <t xml:space="preserve">关注主题</t>
  </si>
  <si>
    <t xml:space="preserve">新增和取消关注研究主题</t>
  </si>
  <si>
    <t xml:space="preserve">用户已登录；系统有主题数据</t>
  </si>
  <si>
    <t xml:space="preserve">1.关注一个主题；
2.查看个人关注主题；
3.取消关注。</t>
  </si>
  <si>
    <t xml:space="preserve">关注状态持久化；个人页显示该主题；取消后移除；不影响历史阅读数据。</t>
  </si>
  <si>
    <t xml:space="preserve">TC-029</t>
  </si>
  <si>
    <t xml:space="preserve">研究脉络图</t>
  </si>
  <si>
    <t xml:space="preserve">自动生成研究主题发展脉络图</t>
  </si>
  <si>
    <t xml:space="preserve">同一主题下有跨年份论文和引用关系</t>
  </si>
  <si>
    <t xml:space="preserve">1.选择研究主题；
2.生成发展脉络；
3.检查时间轴、节点和关系。</t>
  </si>
  <si>
    <t xml:space="preserve">脉络按时间组织；关键论文和演进关系可追溯；节点可跳转论文详情。</t>
  </si>
  <si>
    <t xml:space="preserve">需求追踪：AR-1</t>
  </si>
  <si>
    <t xml:space="preserve">TC-030</t>
  </si>
  <si>
    <t xml:space="preserve">代表论文与趋势</t>
  </si>
  <si>
    <t xml:space="preserve">生成代表性论文列表和研究趋势分析</t>
  </si>
  <si>
    <t xml:space="preserve">主题下数据量足以分析</t>
  </si>
  <si>
    <t xml:space="preserve">1.生成主题分析；
2.查看代表论文排序依据；
3.核对趋势区间和证据。</t>
  </si>
  <si>
    <t xml:space="preserve">输出代表论文列表、选择依据、趋势结论和数据范围；结论能追溯到论文或统计结果。</t>
  </si>
  <si>
    <t xml:space="preserve">TC-031</t>
  </si>
  <si>
    <t xml:space="preserve">主题订阅</t>
  </si>
  <si>
    <t xml:space="preserve">创建、修改和取消研究主题订阅</t>
  </si>
  <si>
    <t xml:space="preserve">用户已登录；通知渠道可用</t>
  </si>
  <si>
    <t xml:space="preserve">1.订阅主题并选择每日频率；
2.修改关键词；
3.取消订阅。</t>
  </si>
  <si>
    <t xml:space="preserve">订阅规则正确保存；修改后立即生效；取消后不再生成推送任务。</t>
  </si>
  <si>
    <t xml:space="preserve">需求追踪：AR-2</t>
  </si>
  <si>
    <t xml:space="preserve">TC-032</t>
  </si>
  <si>
    <t xml:space="preserve">每日新增论文推送</t>
  </si>
  <si>
    <t xml:space="preserve">每日推送订阅主题的新增论文摘要</t>
  </si>
  <si>
    <t xml:space="preserve">存在有效订阅；当天有新增论文</t>
  </si>
  <si>
    <t xml:space="preserve">1.触发每日推送任务；
2.查看推送内容；
3.再次执行同日任务。</t>
  </si>
  <si>
    <t xml:space="preserve">仅推送新增且匹配的论文；每篇包含标题、摘要和链接；同日重复任务不重复推送。</t>
  </si>
  <si>
    <t xml:space="preserve">TC-033</t>
  </si>
  <si>
    <t xml:space="preserve">个性化推荐</t>
  </si>
  <si>
    <t xml:space="preserve">根据阅读历史推荐相关论文</t>
  </si>
  <si>
    <t xml:space="preserve">用户有足够阅读历史；库中有候选论文</t>
  </si>
  <si>
    <t xml:space="preserve">1.阅读同主题多篇论文；
2.打开推荐页；
3.改变阅读主题后重新生成。</t>
  </si>
  <si>
    <t xml:space="preserve">推荐与近期兴趣相关；已读/重复项按规则处理；兴趣改变后结果有合理变化；可查看推荐理由。</t>
  </si>
  <si>
    <t xml:space="preserve">TC-034</t>
  </si>
  <si>
    <t xml:space="preserve">解析准确率</t>
  </si>
  <si>
    <t xml:space="preserve">准确性测试</t>
  </si>
  <si>
    <t xml:space="preserve">结构化解析与知识抽取准确率不低于90%</t>
  </si>
  <si>
    <t xml:space="preserve">准备不少于100篇含人工金标准的代表性论文</t>
  </si>
  <si>
    <t xml:space="preserve">1.批量执行解析与抽取；
2.按统一评分规则比较标题层级、概念、问题、方法和结论；
3.统计正确项/总评测项。</t>
  </si>
  <si>
    <t xml:space="preserve">总体准确率≥90%；各维度结果可复核；失败样本和评分明细可导出。</t>
  </si>
  <si>
    <t xml:space="preserve">需求追踪：NFR-3</t>
  </si>
  <si>
    <t xml:space="preserve">TC-035</t>
  </si>
  <si>
    <t xml:space="preserve">检索准确率</t>
  </si>
  <si>
    <t xml:space="preserve">多维检索准确率不低于90%</t>
  </si>
  <si>
    <t xml:space="preserve">准备标注相关论文集合和不少于100条查询</t>
  </si>
  <si>
    <t xml:space="preserve">1.依次执行标题、作者、关键词、方向和标签查询；
2.记录Top-K结果；
3.按验收口径统计准确率。</t>
  </si>
  <si>
    <t xml:space="preserve">检索准确率≥90%；查询、命中结果和计算过程留痕；无明显跨用户数据混入。</t>
  </si>
  <si>
    <t xml:space="preserve">TC-036</t>
  </si>
  <si>
    <t xml:space="preserve">问答准确率</t>
  </si>
  <si>
    <t xml:space="preserve">论文问答准确率不低于90%</t>
  </si>
  <si>
    <t xml:space="preserve">准备覆盖内容、概念、方法和脉络的人工标注问答集</t>
  </si>
  <si>
    <t xml:space="preserve">1.批量提问；
2.按答案正确性与引用支持性评分；
3.统计通过题数/总题数。</t>
  </si>
  <si>
    <t xml:space="preserve">准确率≥90%；关键结论由正确出处支持；拒答样本按既定评分规则处理。</t>
  </si>
  <si>
    <t xml:space="preserve">TC-037</t>
  </si>
  <si>
    <t xml:space="preserve">检索并发性能</t>
  </si>
  <si>
    <t xml:space="preserve">性能测试</t>
  </si>
  <si>
    <t xml:space="preserve">100条以上数据和100并发下检索响应小于3秒</t>
  </si>
  <si>
    <t xml:space="preserve">库中不少于100条论文元数据；性能环境稳定</t>
  </si>
  <si>
    <t xml:space="preserve">1.准备混合检索脚本；
2.以100并发持续压测；
3.统计服务端响应时间、错误率和资源。</t>
  </si>
  <si>
    <t xml:space="preserve">检索响应时间按验收统计口径&lt;3s；无错误或数据错乱；资源使用无持续异常增长。</t>
  </si>
  <si>
    <t xml:space="preserve">需求追踪：NFR-4</t>
  </si>
  <si>
    <t xml:space="preserve">TC-038</t>
  </si>
  <si>
    <t xml:space="preserve">问答链路并发性能</t>
  </si>
  <si>
    <t xml:space="preserve">100并发下问答非LLM链路响应小于3秒</t>
  </si>
  <si>
    <t xml:space="preserve">知识索引已建立；可单独计量LLM外耗时</t>
  </si>
  <si>
    <t xml:space="preserve">1.100并发提交混合问题；
2.扣除或隔离LLM推理耗时；
3.统计检索、组装、引用定位耗时。</t>
  </si>
  <si>
    <t xml:space="preserve">非LLM部分响应时间&lt;3s；请求隔离正确；无引用串线或会话串扰。</t>
  </si>
  <si>
    <t xml:space="preserve">TC-039</t>
  </si>
  <si>
    <t xml:space="preserve">学习管理并发性能</t>
  </si>
  <si>
    <t xml:space="preserve">100并发下学习管理操作响应小于3秒</t>
  </si>
  <si>
    <t xml:space="preserve">准备100个测试用户和不少于100篇论文</t>
  </si>
  <si>
    <t xml:space="preserve">1.并发执行收藏、笔记、评论、历史查询；
2.持续压测；
3.核对响应和最终数据。</t>
  </si>
  <si>
    <t xml:space="preserve">各操作响应时间&lt;3s；成功率符合验收标准；最终数据完整且无重复、丢失。</t>
  </si>
  <si>
    <t xml:space="preserve">TC-040</t>
  </si>
  <si>
    <t xml:space="preserve">抓取解析批处理性能</t>
  </si>
  <si>
    <t xml:space="preserve">批量抓取与解析不阻塞在线查询</t>
  </si>
  <si>
    <t xml:space="preserve">准备批量论文任务和在线查询脚本</t>
  </si>
  <si>
    <t xml:space="preserve">1.启动批量抓取与解析；
2.同时执行检索和学习管理；
3.观察队列与在线响应。</t>
  </si>
  <si>
    <t xml:space="preserve">后台任务可排队和限流；在线功能保持可用；任务进度可查；无资源耗尽。</t>
  </si>
  <si>
    <t xml:space="preserve">需求追踪：FR-1/2,NFR-4</t>
  </si>
  <si>
    <t xml:space="preserve">TC-041</t>
  </si>
  <si>
    <t xml:space="preserve">抓取任务幂等性</t>
  </si>
  <si>
    <t xml:space="preserve">可靠性测试</t>
  </si>
  <si>
    <t xml:space="preserve">调度任务重复触发时数据保持一致</t>
  </si>
  <si>
    <t xml:space="preserve">同一抓取任务可被重复投递</t>
  </si>
  <si>
    <t xml:space="preserve">1.并发触发同一时间窗任务两次；
2.等待完成；
3.核对论文、解析任务和推送记录。</t>
  </si>
  <si>
    <t xml:space="preserve">不产生重复论文、重复解析或重复推送；任务状态最终一致；异常有日志。</t>
  </si>
  <si>
    <t xml:space="preserve">需求追踪：FR-1.1/AR-2</t>
  </si>
  <si>
    <t xml:space="preserve">TC-042</t>
  </si>
  <si>
    <t xml:space="preserve">外部依赖故障恢复</t>
  </si>
  <si>
    <t xml:space="preserve">arXiv或解析服务暂时不可用时可恢复</t>
  </si>
  <si>
    <t xml:space="preserve">可模拟超时、限流和服务中断</t>
  </si>
  <si>
    <t xml:space="preserve">1.抓取中注入超时/429/5xx；
2.恢复依赖；
3.观察重试与补偿。</t>
  </si>
  <si>
    <t xml:space="preserve">采用退避重试或进入可恢复队列；不丢失任务；恢复后完成处理；前台有可理解状态。</t>
  </si>
  <si>
    <t xml:space="preserve">需求追踪：FR-1/2</t>
  </si>
  <si>
    <t xml:space="preserve">TC-043</t>
  </si>
  <si>
    <t xml:space="preserve">服务重启一致性</t>
  </si>
  <si>
    <t xml:space="preserve">服务重启后任务和用户数据保持一致</t>
  </si>
  <si>
    <t xml:space="preserve">存在运行中解析任务及已保存笔记</t>
  </si>
  <si>
    <t xml:space="preserve">1.处理过程中重启服务；
2.重新登录；
3.检查任务、收藏、笔记和索引。</t>
  </si>
  <si>
    <t xml:space="preserve">已提交任务可恢复或明确失败可重试；用户数据不丢失；无脏数据和重复记录。</t>
  </si>
  <si>
    <t xml:space="preserve">需求追踪：FR-2/5</t>
  </si>
  <si>
    <t xml:space="preserve">TC-044</t>
  </si>
  <si>
    <t xml:space="preserve">身份认证与数据隔离</t>
  </si>
  <si>
    <t xml:space="preserve">安全性测试</t>
  </si>
  <si>
    <t xml:space="preserve">未登录访问受限且不同用户数据隔离</t>
  </si>
  <si>
    <t xml:space="preserve">准备两个普通用户</t>
  </si>
  <si>
    <t xml:space="preserve">1.未登录访问收藏/笔记接口；
2.用户A创建笔记；
3.用户B尝试读取或修改。</t>
  </si>
  <si>
    <t xml:space="preserve">未登录请求被拒绝；用户B无法访问或修改A的私有数据；服务端校验而非仅前端隐藏。</t>
  </si>
  <si>
    <t xml:space="preserve">需求追踪：FR-5</t>
  </si>
  <si>
    <t xml:space="preserve">TC-045</t>
  </si>
  <si>
    <t xml:space="preserve">输入与查询安全</t>
  </si>
  <si>
    <t xml:space="preserve">搜索、笔记、评论和问答输入抵御注入与XSS</t>
  </si>
  <si>
    <t xml:space="preserve">系统部署在测试环境</t>
  </si>
  <si>
    <t xml:space="preserve">1.在各输入点提交SQL/脚本/提示注入样本；
2.查看页面和日志；
3.重复访问保存内容。</t>
  </si>
  <si>
    <t xml:space="preserve">无SQL注入、脚本执行或越权指令生效；内容安全转义；错误不泄露敏感堆栈。</t>
  </si>
  <si>
    <t xml:space="preserve">需求追踪：FR-3/4/5</t>
  </si>
  <si>
    <t xml:space="preserve">TC-046</t>
  </si>
  <si>
    <t xml:space="preserve">外部内容安全</t>
  </si>
  <si>
    <t xml:space="preserve">恶意PDF或HTML内容不影响系统安全</t>
  </si>
  <si>
    <t xml:space="preserve">准备含异常脚本、超大对象或畸形结构的样本</t>
  </si>
  <si>
    <t xml:space="preserve">1.提交恶意样本解析；
2.监控解析进程；
3.访问生成内容。</t>
  </si>
  <si>
    <t xml:space="preserve">解析在受控环境完成；恶意内容不执行；资源限制有效；失败不影响其他任务。</t>
  </si>
  <si>
    <t xml:space="preserve">需求追踪：FR-2</t>
  </si>
  <si>
    <t xml:space="preserve">TC-047</t>
  </si>
  <si>
    <t xml:space="preserve">主流浏览器兼容</t>
  </si>
  <si>
    <t xml:space="preserve">兼容性测试</t>
  </si>
  <si>
    <t xml:space="preserve">Web客户端在主流浏览器正常使用</t>
  </si>
  <si>
    <t xml:space="preserve">部署可访问的Web测试环境</t>
  </si>
  <si>
    <t xml:space="preserve">1.使用当前受支持的Chrome、Edge、Firefox和Safari；
2.覆盖抓取管理、检索、详情、问答和学习管理；
3.比较结果。</t>
  </si>
  <si>
    <t xml:space="preserve">核心功能和交互一致可用；无阻塞性脚本错误；字体、图表和关系视图正常。</t>
  </si>
  <si>
    <t xml:space="preserve">需求追踪：NFR-1</t>
  </si>
  <si>
    <t xml:space="preserve">TC-048</t>
  </si>
  <si>
    <t xml:space="preserve">响应式布局</t>
  </si>
  <si>
    <t xml:space="preserve">不同分辨率和尺寸下界面自适应</t>
  </si>
  <si>
    <t xml:space="preserve">Web客户端可访问</t>
  </si>
  <si>
    <t xml:space="preserve">1.测试桌面1920×1080、笔记本1366×768、平板768×1024、手机390×844；
2.逐页检查；
3.横竖屏切换。</t>
  </si>
  <si>
    <t xml:space="preserve">无关键内容遮挡或横向溢出；导航可用；表格/图谱提供合理折叠、滚动或适配。</t>
  </si>
  <si>
    <t xml:space="preserve">需求追踪：NFR-2</t>
  </si>
  <si>
    <t xml:space="preserve">TC-049</t>
  </si>
  <si>
    <t xml:space="preserve">缩放与高分屏</t>
  </si>
  <si>
    <t xml:space="preserve">浏览器缩放和高DPI下内容清晰可操作</t>
  </si>
  <si>
    <t xml:space="preserve">准备普通屏和高DPI设备</t>
  </si>
  <si>
    <t xml:space="preserve">1.在80%、100%、125%、150%、200%缩放下访问核心页面；
2.检查文本、按钮和图谱；
3.执行键鼠操作。</t>
  </si>
  <si>
    <t xml:space="preserve">文本和图标清晰；控件不重叠；焦点与点击区域准确；核心流程可完成。</t>
  </si>
  <si>
    <t xml:space="preserve">TC-050</t>
  </si>
  <si>
    <t xml:space="preserve">状态反馈与空态</t>
  </si>
  <si>
    <t xml:space="preserve">易用性测试</t>
  </si>
  <si>
    <t xml:space="preserve">加载、成功、失败和无结果反馈清晰</t>
  </si>
  <si>
    <t xml:space="preserve">系统可模拟慢请求与错误</t>
  </si>
  <si>
    <t xml:space="preserve">1.触发抓取、解析、检索和保存；
2.模拟失败与空结果；
3.观察提示和恢复入口。</t>
  </si>
  <si>
    <t xml:space="preserve">加载状态可见；成功/失败提示明确；空态给出下一步；失败操作可重试且不重复提交。</t>
  </si>
  <si>
    <t xml:space="preserve">需求追踪：FR-1~5</t>
  </si>
  <si>
    <t xml:space="preserve">TC-051</t>
  </si>
  <si>
    <t xml:space="preserve">核心流程易用性</t>
  </si>
  <si>
    <t xml:space="preserve">新用户无需培训可完成核心任务</t>
  </si>
  <si>
    <t xml:space="preserve">准备未接触系统的目标用户</t>
  </si>
  <si>
    <t xml:space="preserve">1.让用户完成检索论文、查看解析、提问、收藏和记笔记；
2.记录完成率与障碍；
3.收集反馈。</t>
  </si>
  <si>
    <t xml:space="preserve">用户可依据界面文案完成任务；关键入口易发现；没有阻塞性理解歧义。</t>
  </si>
  <si>
    <t xml:space="preserve">需求追踪：NFR-1/2</t>
  </si>
  <si>
    <t xml:space="preserve">TC-052</t>
  </si>
  <si>
    <t xml:space="preserve">首次部署</t>
  </si>
  <si>
    <t xml:space="preserve">部署测试</t>
  </si>
  <si>
    <t xml:space="preserve">按部署文档首次安装系统</t>
  </si>
  <si>
    <t xml:space="preserve">干净服务器；配置、数据库和缓存服务可用</t>
  </si>
  <si>
    <t xml:space="preserve">1.配置环境变量；
2.安装前后端依赖并执行数据库迁移；
3.启动服务；
4.运行健康检查和冒烟测试。</t>
  </si>
  <si>
    <t xml:space="preserve">服务成功启动；数据库结构正确；Web可访问；抓取、检索、问答和学习管理冒烟通过。</t>
  </si>
  <si>
    <t xml:space="preserve">TC-054</t>
  </si>
  <si>
    <t xml:space="preserve">升级与回滚</t>
  </si>
  <si>
    <t xml:space="preserve">版本升级和失败回滚不丢失数据</t>
  </si>
  <si>
    <t xml:space="preserve">已部署上一版本并准备测试数据</t>
  </si>
  <si>
    <t xml:space="preserve">1.备份数据；
2.执行升级和迁移；
3.验证数据与功能；
4.模拟升级失败并回滚。</t>
  </si>
  <si>
    <t xml:space="preserve">升级后历史论文和用户数据完整；迁移可审计；失败时可恢复到可用版本。</t>
  </si>
  <si>
    <t xml:space="preserve">测试类型</t>
  </si>
  <si>
    <t xml:space="preserve">常用测试方法</t>
  </si>
  <si>
    <t xml:space="preserve">功能测试</t>
  </si>
  <si>
    <t xml:space="preserve">采用场景法覆盖主流程、备选流程和异常流程；结合等价类、边界值、判定表、错误猜测法验证输入输出。</t>
  </si>
  <si>
    <t xml:space="preserve">准确性测试</t>
  </si>
  <si>
    <t xml:space="preserve">使用人工标注金标准数据集，按统一口径计算解析、检索、问答的准确率，并保留逐样本评分明细。</t>
  </si>
  <si>
    <t xml:space="preserve">性能测试</t>
  </si>
  <si>
    <t xml:space="preserve">在规定数据量和并发数下使用压测工具统计响应时间、吞吐率、错误率及CPU、内存、网络资源。</t>
  </si>
  <si>
    <t xml:space="preserve">可靠性测试</t>
  </si>
  <si>
    <t xml:space="preserve">通过重复投递、服务重启、依赖超时/限流等故障注入验证幂等、恢复、补偿和数据一致性。</t>
  </si>
  <si>
    <t xml:space="preserve">安全性测试</t>
  </si>
  <si>
    <t xml:space="preserve">验证认证授权、用户数据隔离、输入注入、XSS、恶意文档解析及敏感错误信息泄露。</t>
  </si>
  <si>
    <t xml:space="preserve">兼容性测试</t>
  </si>
  <si>
    <t xml:space="preserve">覆盖主流浏览器、桌面/平板/手机分辨率、横竖屏、浏览器缩放和高DPI显示。</t>
  </si>
  <si>
    <t xml:space="preserve">易用性测试</t>
  </si>
  <si>
    <t xml:space="preserve">通过任务完成率、入口可发现性、状态反馈、错误恢复和新用户试用观察易理解、易学与易操作性。</t>
  </si>
  <si>
    <t xml:space="preserve">部署测试</t>
  </si>
  <si>
    <t xml:space="preserve">执行首次部署、升级、迁移、健康检查、冒烟、备份和失败回滚验证。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</si>
</sst>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-mm-dd"/>
    <numFmt numFmtId="165" formatCode="0.0%"/>
  </numFmts>
  <fonts count="7">
    <font>
      <sz val="11"/>
      <color theme="1"/>
      <name val="Calibri"/>
      <family val="2"/>
      <scheme val="minor"/>
    </font>
    <font>
      <sz val="11"/>
      <color rgb="FF000000"/>
      <name val="Carlito"/>
      <family val="2"/>
    </font>
    <font>
      <b val="true"/>
      <sz val="11"/>
      <color rgb="FFFFFFFF"/>
      <name val="Carlito"/>
      <family val="2"/>
    </font>
    <font>
      <b val="true"/>
      <sz val="11"/>
      <color rgb="FF000000"/>
      <name val="Carlito"/>
      <family val="2"/>
    </font>
    <font>
      <b val="true"/>
      <sz val="11"/>
      <color rgb="FF111827"/>
      <name val="Carlito"/>
      <family val="2"/>
    </font>
    <font>
      <sz val="11"/>
      <color rgb="FF1F2937"/>
      <name val="Carlito"/>
      <family val="2"/>
    </font>
    <font>
      <sz val="11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25D6B"/>
        <bgColor/>
      </patternFill>
    </fill>
    <fill>
      <patternFill patternType="solid">
        <fgColor rgb="FFDCE6F1"/>
        <bgColor/>
      </patternFill>
    </fill>
    <fill>
      <patternFill patternType="solid">
        <fgColor rgb="FFEAF1DC"/>
        <bgColor/>
      </patternFill>
    </fill>
    <fill>
      <patternFill patternType="solid">
        <fgColor rgb="FFD7E3BC"/>
        <bgColor/>
      </patternFill>
    </fill>
    <fill>
      <patternFill patternType="solid">
        <fgColor rgb="FF225D6B"/>
        <bgColor/>
      </patternFill>
    </fill>
    <fill>
      <patternFill patternType="solid">
        <fgColor rgb="FFEAF1DC"/>
        <bgColor/>
      </patternFill>
    </fill>
    <fill>
      <patternFill patternType="solid">
        <fgColor rgb="FFF54A45"/>
        <bgColor/>
      </patternFill>
    </fill>
    <fill>
      <patternFill patternType="solid">
        <fgColor rgb="FFDCE6F1"/>
        <bgColor/>
      </patternFill>
    </fill>
    <fill>
      <patternFill patternType="solid">
        <fgColor rgb="FFEAF1DC"/>
        <bgColor/>
      </patternFill>
    </fill>
  </fills>
  <borders count="9">
    <border>
      <left/>
      <right/>
      <top/>
      <bottom/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4B5563"/>
      </left>
      <right style="thin">
        <color rgb="FF4B5563"/>
      </right>
      <top/>
      <bottom style="thin">
        <color rgb="FF4B5563"/>
      </bottom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1" numFmtId="0">
      <alignment vertical="bottom"/>
    </xf>
  </cellStyleXfs>
  <cellXfs count="33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0" fillId="2" fontId="2" numFmtId="0" xfId="1">
      <alignment horizontal="center" vertical="center"/>
    </xf>
    <xf applyAlignment="false" applyBorder="false" applyFill="false" applyFont="false" applyNumberFormat="false" applyProtection="false" borderId="1" fillId="3" fontId="3" numFmtId="0" xfId="1">
      <alignment horizontal="center" vertical="center" wrapText="true"/>
    </xf>
    <xf applyAlignment="false" applyBorder="false" applyFill="false" applyFont="false" applyNumberFormat="false" applyProtection="false" borderId="1" fillId="0" fontId="1" numFmtId="0" xfId="1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false" applyBorder="false" applyFill="false" applyFont="false" applyNumberFormat="false" applyProtection="false" borderId="1" fillId="0" fontId="1" numFmtId="164" xfId="1">
      <alignment vertical="center" wrapText="true"/>
    </xf>
    <xf applyAlignment="false" applyBorder="false" applyFill="false" applyFont="false" applyNumberFormat="false" applyProtection="false" borderId="1" fillId="0" fontId="1" numFmtId="164" xfId="1">
      <alignment horizontal="center" vertical="center" wrapText="true"/>
    </xf>
    <xf applyAlignment="false" applyBorder="false" applyFill="false" applyFont="false" applyNumberFormat="false" applyProtection="false" borderId="1" fillId="0" fontId="1" numFmtId="0" xfId="1">
      <alignment horizontal="center" vertical="center" wrapText="true"/>
    </xf>
    <xf applyAlignment="false" applyBorder="false" applyFill="false" applyFont="false" applyNumberFormat="false" applyProtection="false" borderId="1" fillId="3" fontId="3" numFmtId="0" xfId="1">
      <alignment horizontal="center" vertical="center"/>
    </xf>
    <xf applyAlignment="false" applyBorder="false" applyFill="false" applyFont="false" applyNumberFormat="false" applyProtection="false" borderId="1" fillId="4" fontId="1" numFmtId="0" xfId="1">
      <alignment horizontal="center" vertical="center"/>
    </xf>
    <xf applyAlignment="false" applyBorder="false" applyFill="false" applyFont="false" applyNumberFormat="false" applyProtection="false" borderId="1" fillId="4" fontId="1" numFmtId="165" xfId="1">
      <alignment horizontal="center" vertical="center"/>
    </xf>
    <xf applyAlignment="false" applyBorder="false" applyFill="false" applyFont="false" applyNumberFormat="false" applyProtection="false" borderId="2" fillId="5" fontId="3" numFmtId="0" xfId="1">
      <alignment horizontal="center" vertical="center"/>
    </xf>
    <xf applyAlignment="false" applyBorder="false" applyFill="false" applyFont="false" applyNumberFormat="false" applyProtection="false" borderId="2" fillId="5" fontId="3" numFmtId="165" xfId="1">
      <alignment horizontal="center" vertical="center"/>
    </xf>
    <xf applyAlignment="false" applyBorder="false" applyFill="false" applyFont="false" applyNumberFormat="false" applyProtection="false" borderId="0" fillId="0" fontId="4" numFmtId="0" xfId="1">
      <alignment horizontal="center" vertical="center"/>
    </xf>
    <xf applyAlignment="false" applyBorder="false" applyFill="false" applyFont="false" applyNumberFormat="false" applyProtection="false" borderId="3" fillId="6" fontId="2" numFmtId="0" xfId="1">
      <alignment horizontal="center" vertical="center" wrapText="true"/>
    </xf>
    <xf applyAlignment="false" applyBorder="false" applyFill="false" applyFont="false" applyNumberFormat="false" applyProtection="false" borderId="4" fillId="7" fontId="5" numFmtId="0" xfId="1">
      <alignment horizontal="center" vertical="center" wrapText="true"/>
    </xf>
    <xf applyAlignment="false" applyBorder="false" applyFill="false" applyFont="false" applyNumberFormat="false" applyProtection="false" borderId="4" fillId="7" fontId="5" numFmtId="0" xfId="1">
      <alignment vertical="center" wrapText="true"/>
    </xf>
    <xf applyAlignment="true" applyBorder="false" applyFill="true" applyFont="true" applyNumberFormat="false" applyProtection="false" borderId="4" fillId="7" fontId="5" numFmtId="0" xfId="0">
      <alignment vertical="center" wrapText="true"/>
    </xf>
    <xf applyAlignment="true" applyBorder="false" applyFill="true" applyFont="true" applyNumberFormat="false" applyProtection="false" borderId="4" fillId="7" fontId="5" numFmtId="0" xfId="0">
      <alignment horizontal="center" vertical="center" wrapText="true"/>
    </xf>
    <xf applyAlignment="false" applyBorder="false" applyFill="false" applyFont="false" applyNumberFormat="false" applyProtection="false" borderId="4" fillId="7" fontId="5" numFmtId="0" xfId="1">
      <alignment horizontal="left" vertical="center" wrapText="true"/>
    </xf>
    <xf applyAlignment="true" applyBorder="false" applyFill="true" applyFont="true" applyNumberFormat="false" applyProtection="false" borderId="5" fillId="7" fontId="5" numFmtId="0" xfId="0">
      <alignment horizontal="center" vertical="center" wrapText="true"/>
    </xf>
    <xf applyAlignment="true" applyBorder="false" applyFill="true" applyFont="true" applyNumberFormat="false" applyProtection="false" borderId="5" fillId="7" fontId="5" numFmtId="0" xfId="0">
      <alignment vertical="center" wrapText="true"/>
    </xf>
    <xf applyAlignment="true" applyBorder="false" applyFill="true" applyFont="true" applyNumberFormat="false" applyProtection="false" borderId="5" fillId="7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6" fillId="7" fontId="5" numFmtId="0" xfId="0">
      <alignment horizontal="center" vertical="center" wrapText="true"/>
    </xf>
    <xf applyAlignment="true" applyBorder="false" applyFill="true" applyFont="true" applyNumberFormat="false" applyProtection="false" borderId="7" fillId="7" fontId="5" numFmtId="0" xfId="0">
      <alignment horizontal="center" vertical="center" wrapText="true"/>
    </xf>
    <xf applyAlignment="true" applyBorder="false" applyFill="true" applyFont="true" applyNumberFormat="false" applyProtection="false" borderId="7" fillId="7" fontId="5" numFmtId="0" xfId="0">
      <alignment vertical="center" wrapText="true"/>
    </xf>
    <xf applyAlignment="true" applyBorder="false" applyFill="true" applyFont="true" applyNumberFormat="false" applyProtection="false" borderId="7" fillId="7" fontId="5" numFmtId="0" xfId="0">
      <alignment horizontal="left" vertical="center" wrapText="true"/>
    </xf>
    <xf applyAlignment="true" applyBorder="false" applyFill="true" applyFont="true" applyNumberFormat="false" applyProtection="false" borderId="4" fillId="8" fontId="5" numFmtId="0" xfId="0">
      <alignment horizontal="center" vertical="center" wrapText="true"/>
    </xf>
    <xf applyAlignment="true" applyBorder="false" applyFill="true" applyFont="true" applyNumberFormat="false" applyProtection="false" borderId="4" fillId="7" fontId="5" numFmtId="0" xfId="0">
      <alignment horizontal="center" vertical="center" wrapText="true"/>
    </xf>
    <xf applyAlignment="false" applyBorder="false" applyFill="false" applyFont="false" applyNumberFormat="false" applyProtection="false" borderId="8" fillId="9" fontId="3" numFmtId="0" xfId="1">
      <alignment horizontal="center" vertical="center" wrapText="true"/>
    </xf>
    <xf applyAlignment="false" applyBorder="false" applyFill="false" applyFont="false" applyNumberFormat="false" applyProtection="false" borderId="8" fillId="10" fontId="3" numFmtId="0" xfId="1">
      <alignment horizontal="center" vertical="center" wrapText="true"/>
    </xf>
    <xf applyAlignment="false" applyBorder="false" applyFill="false" applyFont="false" applyNumberFormat="false" applyProtection="false" borderId="8" fillId="0" fontId="1" numFmtId="0" xfId="1">
      <alignment vertical="center" wrapText="true"/>
    </xf>
  </cellXfs>
  <cellStyles count="2">
    <cellStyle builtinId="0" name="Normal" xfId="0"/>
    <cellStyle name="Normal" xfId="1"/>
  </cellStyles>
  <dxfs count="3">
    <dxf>
      <font>
        <b val="true"/>
        <sz val="11"/>
        <color rgb="FF166534"/>
        <name val="Calibri"/>
        <family val="2"/>
        <scheme val="minor"/>
      </font>
      <fill>
        <patternFill patternType="solid">
          <fgColor/>
          <bgColor rgb="FFDCFCE7"/>
        </patternFill>
      </fill>
    </dxf>
    <dxf>
      <font>
        <b val="true"/>
        <sz val="11"/>
        <color rgb="FF991B1B"/>
        <name val="Calibri"/>
        <family val="2"/>
        <scheme val="minor"/>
      </font>
      <fill>
        <patternFill patternType="solid">
          <fgColor/>
          <bgColor rgb="FFFEE2E2"/>
        </patternFill>
      </fill>
    </dxf>
    <dxf>
      <font>
        <b val="true"/>
        <sz val="11"/>
        <color rgb="FF92400E"/>
        <name val="Calibri"/>
        <family val="2"/>
        <scheme val="minor"/>
      </font>
      <fill>
        <patternFill patternType="solid">
          <fgColor/>
          <bgColor rgb="FFFEF3C7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1" defaultRowHeight="16"/>
  <cols>
    <col collapsed="false" customWidth="true" hidden="false" max="6" min="6" style="0" width="16"/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21"/>
    <col collapsed="false" customWidth="true" hidden="false" max="4" min="4" style="0" width="11"/>
    <col collapsed="false" customWidth="true" hidden="false" max="5" min="5" style="0" width="11"/>
  </cols>
  <sheetData>
    <row customHeight="true" ht="38" r="1">
      <c r="A1" s="1" t="s">
        <v>1</v>
      </c>
      <c r="B1" s="1"/>
      <c r="C1" s="1"/>
      <c r="D1" s="1"/>
      <c r="E1" s="1"/>
      <c r="F1" s="1"/>
    </row>
    <row r="2"/>
    <row customHeight="true" ht="38" r="3">
      <c r="A3" s="2" t="s">
        <v>2</v>
      </c>
      <c r="B3" s="2"/>
      <c r="C3" s="3" t="s">
        <v>3</v>
      </c>
      <c r="D3" s="3"/>
      <c r="E3" s="3"/>
      <c r="F3" s="3"/>
    </row>
    <row customHeight="true" ht="38" r="4">
      <c r="A4" s="2" t="s">
        <v>4</v>
      </c>
      <c r="B4" s="2"/>
      <c r="C4" s="3" t="s">
        <v>5</v>
      </c>
      <c r="D4" s="2" t="s">
        <v>6</v>
      </c>
      <c r="E4" s="2" t="s">
        <v>7</v>
      </c>
      <c r="F4" s="3" t="s">
        <v>8</v>
      </c>
    </row>
    <row customHeight="true" ht="38" r="5">
      <c r="A5" s="2" t="s">
        <v>9</v>
      </c>
      <c r="B5" s="2"/>
      <c r="C5" s="4" t="s">
        <v>10</v>
      </c>
      <c r="D5" s="2" t="s">
        <v>11</v>
      </c>
      <c r="E5" s="2"/>
      <c r="F5" s="5">
        <v>46231</v>
      </c>
    </row>
    <row customHeight="true" ht="38" r="6">
      <c r="A6" s="2" t="s">
        <v>12</v>
      </c>
      <c r="B6" s="2"/>
      <c r="C6" s="3"/>
      <c r="D6" s="2" t="s">
        <v>11</v>
      </c>
      <c r="E6" s="2"/>
      <c r="F6" s="5"/>
    </row>
    <row r="7"/>
    <row customHeight="true" ht="15" r="8">
      <c r="A8" s="1" t="s">
        <v>13</v>
      </c>
      <c r="B8" s="1"/>
      <c r="C8" s="1"/>
      <c r="D8" s="1"/>
      <c r="E8" s="1"/>
      <c r="F8" s="1"/>
    </row>
    <row customHeight="true" ht="32" r="9">
      <c r="A9" s="2" t="s">
        <v>14</v>
      </c>
      <c r="B9" s="2" t="s">
        <v>15</v>
      </c>
      <c r="C9" s="2" t="s">
        <v>16</v>
      </c>
      <c r="D9" s="2"/>
      <c r="E9" s="2"/>
      <c r="F9" s="2" t="s">
        <v>17</v>
      </c>
    </row>
    <row customHeight="true" ht="32" r="10">
      <c r="A10" s="6">
        <v>46231</v>
      </c>
      <c r="B10" s="7" t="s">
        <v>18</v>
      </c>
      <c r="C10" s="7" t="s">
        <v>19</v>
      </c>
      <c r="D10" s="7"/>
      <c r="E10" s="7"/>
      <c r="F10" s="7" t="s">
        <v>20</v>
      </c>
    </row>
    <row r="11"/>
    <row customHeight="true" ht="15" r="12">
      <c r="A12" s="1" t="s">
        <v>21</v>
      </c>
      <c r="B12" s="1"/>
      <c r="C12" s="1"/>
      <c r="D12" s="1"/>
      <c r="E12" s="1"/>
      <c r="F12" s="1"/>
    </row>
    <row customHeight="true" ht="15" r="13">
      <c r="A13" s="8" t="s">
        <v>22</v>
      </c>
      <c r="B13" s="8"/>
      <c r="C13" s="8"/>
      <c r="D13" s="8" t="s">
        <v>23</v>
      </c>
      <c r="E13" s="8" t="s">
        <v>24</v>
      </c>
      <c r="F13" s="8" t="s">
        <v>25</v>
      </c>
    </row>
    <row customHeight="true" ht="28" r="14">
      <c r="A14" s="9" t="s">
        <v>26</v>
      </c>
      <c r="B14" s="9"/>
      <c r="C14" s="9"/>
      <c r="D14" s="9">
        <f>COUNTIF('Test Cases'!$C$5:$C$57,A14)</f>
      </c>
      <c r="E14" s="9">
        <f>COUNTIFS('Test Cases'!$C$5:$C$57,A14,'Test Cases'!$J$5:$J$57,"通过")</f>
      </c>
      <c r="F14" s="10">
        <f t="shared" ref="F14:F22" si="0">IFERROR(E14/D14,0)</f>
      </c>
    </row>
    <row customHeight="true" ht="28" r="15">
      <c r="A15" s="9" t="s">
        <v>27</v>
      </c>
      <c r="B15" s="9"/>
      <c r="C15" s="9"/>
      <c r="D15" s="9">
        <f>COUNTIF('Test Cases'!$C$5:$C$57,A15)</f>
      </c>
      <c r="E15" s="9">
        <f>COUNTIFS('Test Cases'!$C$5:$C$57,A15,'Test Cases'!$J$5:$J$57,"通过")</f>
      </c>
      <c r="F15" s="10">
        <f t="shared" si="0"/>
      </c>
    </row>
    <row customHeight="true" ht="28" r="16">
      <c r="A16" s="9" t="s">
        <v>28</v>
      </c>
      <c r="B16" s="9"/>
      <c r="C16" s="9"/>
      <c r="D16" s="9">
        <f>COUNTIF('Test Cases'!$C$5:$C$57,A16)</f>
      </c>
      <c r="E16" s="9">
        <f>COUNTIFS('Test Cases'!$C$5:$C$57,A16,'Test Cases'!$J$5:$J$57,"通过")</f>
      </c>
      <c r="F16" s="10">
        <f t="shared" si="0"/>
      </c>
    </row>
    <row customHeight="true" ht="28" r="17">
      <c r="A17" s="9" t="s">
        <v>29</v>
      </c>
      <c r="B17" s="9"/>
      <c r="C17" s="9"/>
      <c r="D17" s="9">
        <f>COUNTIF('Test Cases'!$C$5:$C$57,A17)</f>
      </c>
      <c r="E17" s="9">
        <f>COUNTIFS('Test Cases'!$C$5:$C$57,A17,'Test Cases'!$J$5:$J$57,"通过")</f>
      </c>
      <c r="F17" s="10">
        <f t="shared" si="0"/>
      </c>
    </row>
    <row customHeight="true" ht="28" r="18">
      <c r="A18" s="9" t="s">
        <v>30</v>
      </c>
      <c r="B18" s="9"/>
      <c r="C18" s="9"/>
      <c r="D18" s="9">
        <f>COUNTIF('Test Cases'!$C$5:$C$57,A18)</f>
      </c>
      <c r="E18" s="9">
        <f>COUNTIFS('Test Cases'!$C$5:$C$57,A18,'Test Cases'!$J$5:$J$57,"通过")</f>
      </c>
      <c r="F18" s="10">
        <f t="shared" si="0"/>
      </c>
    </row>
    <row customHeight="true" ht="28" r="19">
      <c r="A19" s="9" t="s">
        <v>31</v>
      </c>
      <c r="B19" s="9"/>
      <c r="C19" s="9"/>
      <c r="D19" s="9">
        <f>COUNTIF('Test Cases'!$C$5:$C$57,A19)</f>
      </c>
      <c r="E19" s="9">
        <f>COUNTIFS('Test Cases'!$C$5:$C$57,A19,'Test Cases'!$J$5:$J$57,"通过")</f>
      </c>
      <c r="F19" s="10">
        <f t="shared" si="0"/>
      </c>
    </row>
    <row customHeight="true" ht="28" r="20">
      <c r="A20" s="9" t="s">
        <v>32</v>
      </c>
      <c r="B20" s="9"/>
      <c r="C20" s="9"/>
      <c r="D20" s="9">
        <f>COUNTIF('Test Cases'!$C$5:$C$57,A20)</f>
      </c>
      <c r="E20" s="9">
        <f>COUNTIFS('Test Cases'!$C$5:$C$57,A20,'Test Cases'!$J$5:$J$57,"通过")</f>
      </c>
      <c r="F20" s="10">
        <f t="shared" si="0"/>
      </c>
    </row>
    <row customHeight="true" ht="28" r="21">
      <c r="A21" s="9" t="s">
        <v>33</v>
      </c>
      <c r="B21" s="9"/>
      <c r="C21" s="9"/>
      <c r="D21" s="9">
        <f>COUNTIF('Test Cases'!$C$5:$C$57,A21)</f>
      </c>
      <c r="E21" s="9">
        <f>COUNTIFS('Test Cases'!$C$5:$C$57,A21,'Test Cases'!$J$5:$J$57,"通过")</f>
      </c>
      <c r="F21" s="10">
        <f t="shared" si="0"/>
      </c>
    </row>
    <row customHeight="true" ht="15" r="22">
      <c r="A22" s="11" t="s">
        <v>34</v>
      </c>
      <c r="B22" s="11"/>
      <c r="C22" s="11"/>
      <c r="D22" s="11">
        <f>SUM(D14:D21)</f>
      </c>
      <c r="E22" s="11">
        <f>SUM(E14:E21)</f>
      </c>
      <c r="F22" s="12">
        <f t="shared" si="0"/>
      </c>
    </row>
  </sheetData>
  <mergeCells>
    <mergeCell ref="A1:F1"/>
    <mergeCell ref="A3:B3"/>
    <mergeCell ref="C3:F3"/>
    <mergeCell ref="A4:B4"/>
    <mergeCell ref="A5:B5"/>
    <mergeCell ref="D5:E5"/>
    <mergeCell ref="A6:B6"/>
    <mergeCell ref="D6:E6"/>
    <mergeCell ref="A8:F8"/>
    <mergeCell ref="C9:E9"/>
    <mergeCell ref="C10:E10"/>
    <mergeCell ref="A12:F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</mergeCells>
  <pageMargins bottom="0.75" footer="0.3" header="0.3" left="0.7" right="0.7" top="0.75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1" defaultRowHeight="16"/>
  <cols>
    <col collapsed="false" customWidth="true" hidden="false" max="2" min="2" style="0" width="12"/>
    <col collapsed="false" customWidth="true" hidden="false" max="4" min="4" style="0" width="20"/>
    <col collapsed="false" customWidth="true" hidden="false" max="6" min="6" style="0" width="21"/>
    <col collapsed="false" customWidth="true" hidden="false" max="8" min="8" style="0" width="24"/>
    <col collapsed="false" customWidth="true" hidden="false" max="10" min="10" style="0" width="9"/>
    <col collapsed="false" customWidth="true" hidden="false" max="12" min="12" style="0" width="9"/>
    <col collapsed="false" customWidth="true" hidden="false" max="1" min="1" style="0" width="9"/>
    <col collapsed="false" customWidth="true" hidden="false" max="3" min="3" style="0" width="9"/>
    <col collapsed="false" customWidth="true" hidden="false" max="5" min="5" style="0" width="8"/>
    <col collapsed="false" customWidth="true" hidden="false" max="7" min="7" style="0" width="31"/>
    <col collapsed="false" customWidth="true" hidden="false" max="9" min="9" style="0" width="16"/>
    <col collapsed="false" customWidth="true" hidden="false" max="11" min="11" style="0" width="9"/>
    <col collapsed="false" customWidth="true" hidden="false" max="13" min="13" style="0" width="16"/>
  </cols>
  <sheetData>
    <row customHeight="true" ht="15" r="1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customHeight="true" ht="15"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/>
    <row customHeight="true" ht="60" r="4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</row>
    <row customHeight="true" ht="86" r="5">
      <c r="A5" s="15" t="s">
        <v>49</v>
      </c>
      <c r="B5" s="16" t="s">
        <v>50</v>
      </c>
      <c r="C5" s="15" t="s">
        <v>51</v>
      </c>
      <c r="D5" s="16" t="s">
        <v>52</v>
      </c>
      <c r="E5" s="15" t="s">
        <v>53</v>
      </c>
      <c r="F5" s="17" t="s">
        <v>54</v>
      </c>
      <c r="G5" s="16" t="s">
        <v>55</v>
      </c>
      <c r="H5" s="16" t="s">
        <v>56</v>
      </c>
      <c r="I5" s="18" t="s">
        <v>57</v>
      </c>
      <c r="J5" s="18" t="s">
        <v>58</v>
      </c>
      <c r="K5" s="15"/>
      <c r="L5" s="15"/>
      <c r="M5" s="19" t="s">
        <v>59</v>
      </c>
    </row>
    <row customHeight="true" ht="86" r="6">
      <c r="A6" s="15" t="s">
        <v>60</v>
      </c>
      <c r="B6" s="16" t="s">
        <v>61</v>
      </c>
      <c r="C6" s="15" t="s">
        <v>51</v>
      </c>
      <c r="D6" s="16" t="s">
        <v>62</v>
      </c>
      <c r="E6" s="15" t="s">
        <v>53</v>
      </c>
      <c r="F6" s="16" t="s">
        <v>63</v>
      </c>
      <c r="G6" s="16" t="s">
        <v>64</v>
      </c>
      <c r="H6" s="16" t="s">
        <v>65</v>
      </c>
      <c r="I6" s="18" t="s">
        <v>57</v>
      </c>
      <c r="J6" s="18" t="s">
        <v>58</v>
      </c>
      <c r="K6" s="15"/>
      <c r="L6" s="15"/>
      <c r="M6" s="19" t="s">
        <v>59</v>
      </c>
    </row>
    <row customHeight="true" ht="86" r="7">
      <c r="A7" s="15" t="s">
        <v>66</v>
      </c>
      <c r="B7" s="16" t="s">
        <v>67</v>
      </c>
      <c r="C7" s="15" t="s">
        <v>51</v>
      </c>
      <c r="D7" s="16" t="s">
        <v>68</v>
      </c>
      <c r="E7" s="15" t="s">
        <v>53</v>
      </c>
      <c r="F7" s="16" t="s">
        <v>69</v>
      </c>
      <c r="G7" s="16" t="s">
        <v>70</v>
      </c>
      <c r="H7" s="16" t="s">
        <v>71</v>
      </c>
      <c r="I7" s="18" t="s">
        <v>57</v>
      </c>
      <c r="J7" s="18" t="s">
        <v>58</v>
      </c>
      <c r="K7" s="15"/>
      <c r="L7" s="15"/>
      <c r="M7" s="19" t="s">
        <v>72</v>
      </c>
    </row>
    <row customHeight="true" ht="86" r="8">
      <c r="A8" s="15" t="s">
        <v>73</v>
      </c>
      <c r="B8" s="16" t="s">
        <v>74</v>
      </c>
      <c r="C8" s="15" t="s">
        <v>51</v>
      </c>
      <c r="D8" s="16" t="s">
        <v>75</v>
      </c>
      <c r="E8" s="15" t="s">
        <v>53</v>
      </c>
      <c r="F8" s="16" t="s">
        <v>76</v>
      </c>
      <c r="G8" s="16" t="s">
        <v>77</v>
      </c>
      <c r="H8" s="16" t="s">
        <v>78</v>
      </c>
      <c r="I8" s="18" t="s">
        <v>79</v>
      </c>
      <c r="J8" s="18" t="s">
        <v>58</v>
      </c>
      <c r="K8" s="15"/>
      <c r="L8" s="15"/>
      <c r="M8" s="19" t="s">
        <v>59</v>
      </c>
    </row>
    <row customHeight="true" ht="86" r="9">
      <c r="A9" s="15" t="s">
        <v>80</v>
      </c>
      <c r="B9" s="16" t="s">
        <v>81</v>
      </c>
      <c r="C9" s="15" t="s">
        <v>51</v>
      </c>
      <c r="D9" s="16" t="s">
        <v>82</v>
      </c>
      <c r="E9" s="15" t="s">
        <v>53</v>
      </c>
      <c r="F9" s="16" t="s">
        <v>83</v>
      </c>
      <c r="G9" s="16" t="s">
        <v>84</v>
      </c>
      <c r="H9" s="16" t="s">
        <v>85</v>
      </c>
      <c r="I9" s="18" t="s">
        <v>57</v>
      </c>
      <c r="J9" s="18" t="s">
        <v>58</v>
      </c>
      <c r="K9" s="15"/>
      <c r="L9" s="15"/>
      <c r="M9" s="19" t="s">
        <v>59</v>
      </c>
    </row>
    <row customHeight="true" ht="86" r="10">
      <c r="A10" s="18" t="s">
        <v>86</v>
      </c>
      <c r="B10" s="16" t="s">
        <v>87</v>
      </c>
      <c r="C10" s="15" t="s">
        <v>51</v>
      </c>
      <c r="D10" s="16" t="s">
        <v>88</v>
      </c>
      <c r="E10" s="15" t="s">
        <v>53</v>
      </c>
      <c r="F10" s="16" t="s">
        <v>89</v>
      </c>
      <c r="G10" s="16" t="s">
        <v>90</v>
      </c>
      <c r="H10" s="16" t="s">
        <v>91</v>
      </c>
      <c r="I10" s="18" t="s">
        <v>57</v>
      </c>
      <c r="J10" s="18" t="s">
        <v>58</v>
      </c>
      <c r="K10" s="15"/>
      <c r="L10" s="15"/>
      <c r="M10" s="19" t="s">
        <v>92</v>
      </c>
    </row>
    <row customHeight="true" ht="86" r="11">
      <c r="A11" s="20" t="s">
        <v>93</v>
      </c>
      <c r="B11" s="21" t="s">
        <v>94</v>
      </c>
      <c r="C11" s="20" t="s">
        <v>51</v>
      </c>
      <c r="D11" s="21" t="s">
        <v>95</v>
      </c>
      <c r="E11" s="20" t="s">
        <v>53</v>
      </c>
      <c r="F11" s="21" t="s">
        <v>96</v>
      </c>
      <c r="G11" s="21" t="s">
        <v>97</v>
      </c>
      <c r="H11" s="21" t="s">
        <v>98</v>
      </c>
      <c r="I11" s="20" t="s">
        <v>57</v>
      </c>
      <c r="J11" s="20" t="s">
        <v>58</v>
      </c>
      <c r="K11" s="20"/>
      <c r="L11" s="20"/>
      <c r="M11" s="22" t="s">
        <v>99</v>
      </c>
      <c r="N11" s="23"/>
      <c r="O11" s="23"/>
      <c r="P11" s="23"/>
      <c r="Q11" s="23"/>
      <c r="R11" s="23"/>
      <c r="S11" s="23"/>
      <c r="T11" s="23"/>
    </row>
    <row customHeight="true" ht="105" r="12">
      <c r="A12" s="24" t="s">
        <v>100</v>
      </c>
      <c r="B12" s="24" t="s">
        <v>101</v>
      </c>
      <c r="C12" s="24" t="s">
        <v>51</v>
      </c>
      <c r="D12" s="24" t="s">
        <v>102</v>
      </c>
      <c r="E12" s="24" t="s">
        <v>53</v>
      </c>
      <c r="F12" s="24" t="s">
        <v>103</v>
      </c>
      <c r="G12" s="24" t="s">
        <v>104</v>
      </c>
      <c r="H12" s="24" t="s">
        <v>105</v>
      </c>
      <c r="I12" s="24" t="s">
        <v>57</v>
      </c>
      <c r="J12" s="24" t="s">
        <v>58</v>
      </c>
      <c r="K12" s="24"/>
      <c r="L12" s="24"/>
      <c r="M12" s="24" t="s">
        <v>99</v>
      </c>
      <c r="N12" s="23"/>
      <c r="O12" s="23"/>
      <c r="P12" s="23"/>
      <c r="Q12" s="23"/>
      <c r="R12" s="23"/>
      <c r="S12" s="23"/>
      <c r="T12" s="23"/>
    </row>
    <row customHeight="true" ht="86" r="13">
      <c r="A13" s="25" t="s">
        <v>106</v>
      </c>
      <c r="B13" s="26" t="s">
        <v>107</v>
      </c>
      <c r="C13" s="25" t="s">
        <v>51</v>
      </c>
      <c r="D13" s="26" t="s">
        <v>108</v>
      </c>
      <c r="E13" s="25" t="s">
        <v>53</v>
      </c>
      <c r="F13" s="26" t="s">
        <v>109</v>
      </c>
      <c r="G13" s="26" t="s">
        <v>110</v>
      </c>
      <c r="H13" s="26" t="s">
        <v>111</v>
      </c>
      <c r="I13" s="25" t="s">
        <v>57</v>
      </c>
      <c r="J13" s="25" t="s">
        <v>58</v>
      </c>
      <c r="K13" s="25"/>
      <c r="L13" s="25"/>
      <c r="M13" s="27" t="s">
        <v>112</v>
      </c>
      <c r="N13" s="23"/>
      <c r="O13" s="23"/>
      <c r="P13" s="23"/>
      <c r="Q13" s="23"/>
      <c r="R13" s="23"/>
      <c r="S13" s="23"/>
      <c r="T13" s="23"/>
    </row>
    <row customHeight="true" ht="86" r="14">
      <c r="A14" s="18" t="s">
        <v>113</v>
      </c>
      <c r="B14" s="16" t="s">
        <v>114</v>
      </c>
      <c r="C14" s="15" t="s">
        <v>51</v>
      </c>
      <c r="D14" s="16" t="s">
        <v>115</v>
      </c>
      <c r="E14" s="15" t="s">
        <v>53</v>
      </c>
      <c r="F14" s="16" t="s">
        <v>116</v>
      </c>
      <c r="G14" s="16" t="s">
        <v>117</v>
      </c>
      <c r="H14" s="16" t="s">
        <v>118</v>
      </c>
      <c r="I14" s="18" t="s">
        <v>57</v>
      </c>
      <c r="J14" s="18" t="s">
        <v>58</v>
      </c>
      <c r="K14" s="15"/>
      <c r="L14" s="15"/>
      <c r="M14" s="19" t="s">
        <v>112</v>
      </c>
    </row>
    <row customHeight="true" ht="86" r="15">
      <c r="A15" s="18" t="s">
        <v>119</v>
      </c>
      <c r="B15" s="16" t="s">
        <v>120</v>
      </c>
      <c r="C15" s="15" t="s">
        <v>51</v>
      </c>
      <c r="D15" s="16" t="s">
        <v>121</v>
      </c>
      <c r="E15" s="15" t="s">
        <v>122</v>
      </c>
      <c r="F15" s="16" t="s">
        <v>123</v>
      </c>
      <c r="G15" s="16" t="s">
        <v>124</v>
      </c>
      <c r="H15" s="16" t="s">
        <v>125</v>
      </c>
      <c r="I15" s="18" t="s">
        <v>57</v>
      </c>
      <c r="J15" s="18" t="s">
        <v>58</v>
      </c>
      <c r="K15" s="15"/>
      <c r="L15" s="15"/>
      <c r="M15" s="19" t="s">
        <v>92</v>
      </c>
    </row>
    <row customHeight="true" ht="86" r="16">
      <c r="A16" s="18" t="s">
        <v>126</v>
      </c>
      <c r="B16" s="16" t="s">
        <v>127</v>
      </c>
      <c r="C16" s="15" t="s">
        <v>51</v>
      </c>
      <c r="D16" s="16" t="s">
        <v>128</v>
      </c>
      <c r="E16" s="15" t="s">
        <v>53</v>
      </c>
      <c r="F16" s="16" t="s">
        <v>129</v>
      </c>
      <c r="G16" s="16" t="s">
        <v>130</v>
      </c>
      <c r="H16" s="16" t="s">
        <v>131</v>
      </c>
      <c r="I16" s="18" t="s">
        <v>57</v>
      </c>
      <c r="J16" s="18" t="s">
        <v>58</v>
      </c>
      <c r="K16" s="15"/>
      <c r="L16" s="15"/>
      <c r="M16" s="19" t="s">
        <v>132</v>
      </c>
    </row>
    <row customHeight="true" ht="86" r="17">
      <c r="A17" s="18" t="s">
        <v>133</v>
      </c>
      <c r="B17" s="16" t="s">
        <v>134</v>
      </c>
      <c r="C17" s="15" t="s">
        <v>51</v>
      </c>
      <c r="D17" s="16" t="s">
        <v>135</v>
      </c>
      <c r="E17" s="15" t="s">
        <v>53</v>
      </c>
      <c r="F17" s="16" t="s">
        <v>136</v>
      </c>
      <c r="G17" s="16" t="s">
        <v>137</v>
      </c>
      <c r="H17" s="16" t="s">
        <v>138</v>
      </c>
      <c r="I17" s="18" t="s">
        <v>57</v>
      </c>
      <c r="J17" s="18" t="s">
        <v>58</v>
      </c>
      <c r="K17" s="15"/>
      <c r="L17" s="15"/>
      <c r="M17" s="19" t="s">
        <v>132</v>
      </c>
    </row>
    <row customHeight="true" ht="86" r="18">
      <c r="A18" s="18" t="s">
        <v>139</v>
      </c>
      <c r="B18" s="16" t="s">
        <v>140</v>
      </c>
      <c r="C18" s="15" t="s">
        <v>51</v>
      </c>
      <c r="D18" s="17" t="s">
        <v>141</v>
      </c>
      <c r="E18" s="15" t="s">
        <v>53</v>
      </c>
      <c r="F18" s="17" t="s">
        <v>142</v>
      </c>
      <c r="G18" s="17" t="s">
        <v>143</v>
      </c>
      <c r="H18" s="16" t="s">
        <v>144</v>
      </c>
      <c r="I18" s="18" t="s">
        <v>57</v>
      </c>
      <c r="J18" s="18" t="s">
        <v>58</v>
      </c>
      <c r="K18" s="15"/>
      <c r="L18" s="15"/>
      <c r="M18" s="19" t="s">
        <v>132</v>
      </c>
    </row>
    <row customHeight="true" ht="86" r="19">
      <c r="A19" s="18" t="s">
        <v>145</v>
      </c>
      <c r="B19" s="16" t="s">
        <v>146</v>
      </c>
      <c r="C19" s="15" t="s">
        <v>51</v>
      </c>
      <c r="D19" s="17" t="s">
        <v>147</v>
      </c>
      <c r="E19" s="15" t="s">
        <v>122</v>
      </c>
      <c r="F19" s="16" t="s">
        <v>148</v>
      </c>
      <c r="G19" s="17" t="s">
        <v>149</v>
      </c>
      <c r="H19" s="16" t="s">
        <v>150</v>
      </c>
      <c r="I19" s="18" t="s">
        <v>57</v>
      </c>
      <c r="J19" s="18" t="s">
        <v>58</v>
      </c>
      <c r="K19" s="15"/>
      <c r="L19" s="15"/>
      <c r="M19" s="19" t="s">
        <v>132</v>
      </c>
    </row>
    <row customHeight="true" ht="86" r="20">
      <c r="A20" s="18" t="s">
        <v>151</v>
      </c>
      <c r="B20" s="16" t="s">
        <v>152</v>
      </c>
      <c r="C20" s="15" t="s">
        <v>51</v>
      </c>
      <c r="D20" s="16" t="s">
        <v>153</v>
      </c>
      <c r="E20" s="15" t="s">
        <v>53</v>
      </c>
      <c r="F20" s="16" t="s">
        <v>154</v>
      </c>
      <c r="G20" s="16" t="s">
        <v>155</v>
      </c>
      <c r="H20" s="16" t="s">
        <v>156</v>
      </c>
      <c r="I20" s="18" t="s">
        <v>57</v>
      </c>
      <c r="J20" s="18" t="s">
        <v>58</v>
      </c>
      <c r="K20" s="15"/>
      <c r="L20" s="15"/>
      <c r="M20" s="19" t="s">
        <v>157</v>
      </c>
    </row>
    <row customHeight="true" ht="86" r="21">
      <c r="A21" s="18" t="s">
        <v>158</v>
      </c>
      <c r="B21" s="16" t="s">
        <v>159</v>
      </c>
      <c r="C21" s="15" t="s">
        <v>51</v>
      </c>
      <c r="D21" s="16" t="s">
        <v>160</v>
      </c>
      <c r="E21" s="15" t="s">
        <v>53</v>
      </c>
      <c r="F21" s="16" t="s">
        <v>161</v>
      </c>
      <c r="G21" s="17" t="s">
        <v>162</v>
      </c>
      <c r="H21" s="17" t="s">
        <v>163</v>
      </c>
      <c r="I21" s="18" t="s">
        <v>57</v>
      </c>
      <c r="J21" s="18" t="s">
        <v>58</v>
      </c>
      <c r="K21" s="15"/>
      <c r="L21" s="15"/>
      <c r="M21" s="19" t="s">
        <v>164</v>
      </c>
    </row>
    <row customHeight="true" ht="86" r="22">
      <c r="A22" s="18" t="s">
        <v>165</v>
      </c>
      <c r="B22" s="16" t="s">
        <v>166</v>
      </c>
      <c r="C22" s="15" t="s">
        <v>51</v>
      </c>
      <c r="D22" s="16" t="s">
        <v>167</v>
      </c>
      <c r="E22" s="15" t="s">
        <v>53</v>
      </c>
      <c r="F22" s="16" t="s">
        <v>168</v>
      </c>
      <c r="G22" s="17" t="s">
        <v>169</v>
      </c>
      <c r="H22" s="17" t="s">
        <v>170</v>
      </c>
      <c r="I22" s="18" t="s">
        <v>57</v>
      </c>
      <c r="J22" s="18" t="s">
        <v>58</v>
      </c>
      <c r="K22" s="15"/>
      <c r="L22" s="15"/>
      <c r="M22" s="19" t="s">
        <v>164</v>
      </c>
    </row>
    <row customHeight="true" ht="86" r="23">
      <c r="A23" s="18" t="s">
        <v>171</v>
      </c>
      <c r="B23" s="16" t="s">
        <v>172</v>
      </c>
      <c r="C23" s="15" t="s">
        <v>51</v>
      </c>
      <c r="D23" s="16" t="s">
        <v>173</v>
      </c>
      <c r="E23" s="15" t="s">
        <v>53</v>
      </c>
      <c r="F23" s="16" t="s">
        <v>174</v>
      </c>
      <c r="G23" s="17" t="s">
        <v>175</v>
      </c>
      <c r="H23" s="16" t="s">
        <v>176</v>
      </c>
      <c r="I23" s="18" t="s">
        <v>57</v>
      </c>
      <c r="J23" s="28" t="s">
        <v>58</v>
      </c>
      <c r="K23" s="18" t="s">
        <v>177</v>
      </c>
      <c r="L23" s="15"/>
      <c r="M23" s="19" t="s">
        <v>178</v>
      </c>
    </row>
    <row customHeight="true" ht="86" r="24">
      <c r="A24" s="18" t="s">
        <v>179</v>
      </c>
      <c r="B24" s="16" t="s">
        <v>180</v>
      </c>
      <c r="C24" s="15" t="s">
        <v>51</v>
      </c>
      <c r="D24" s="16" t="s">
        <v>181</v>
      </c>
      <c r="E24" s="15" t="s">
        <v>53</v>
      </c>
      <c r="F24" s="16" t="s">
        <v>182</v>
      </c>
      <c r="G24" s="17" t="s">
        <v>183</v>
      </c>
      <c r="H24" s="16" t="s">
        <v>184</v>
      </c>
      <c r="I24" s="18" t="s">
        <v>57</v>
      </c>
      <c r="J24" s="18" t="s">
        <v>58</v>
      </c>
      <c r="K24" s="15"/>
      <c r="L24" s="15"/>
      <c r="M24" s="19" t="s">
        <v>178</v>
      </c>
    </row>
    <row customHeight="true" ht="86" r="25">
      <c r="A25" s="18" t="s">
        <v>185</v>
      </c>
      <c r="B25" s="16" t="s">
        <v>186</v>
      </c>
      <c r="C25" s="15" t="s">
        <v>51</v>
      </c>
      <c r="D25" s="16" t="s">
        <v>187</v>
      </c>
      <c r="E25" s="15" t="s">
        <v>53</v>
      </c>
      <c r="F25" s="16" t="s">
        <v>188</v>
      </c>
      <c r="G25" s="16" t="s">
        <v>189</v>
      </c>
      <c r="H25" s="16" t="s">
        <v>190</v>
      </c>
      <c r="I25" s="18" t="s">
        <v>57</v>
      </c>
      <c r="J25" s="18" t="s">
        <v>58</v>
      </c>
      <c r="K25" s="18" t="s">
        <v>177</v>
      </c>
      <c r="L25" s="15"/>
      <c r="M25" s="19" t="s">
        <v>191</v>
      </c>
    </row>
    <row customHeight="true" ht="86" r="26">
      <c r="A26" s="18" t="s">
        <v>192</v>
      </c>
      <c r="B26" s="16" t="s">
        <v>193</v>
      </c>
      <c r="C26" s="15" t="s">
        <v>51</v>
      </c>
      <c r="D26" s="16" t="s">
        <v>194</v>
      </c>
      <c r="E26" s="15" t="s">
        <v>53</v>
      </c>
      <c r="F26" s="16" t="s">
        <v>195</v>
      </c>
      <c r="G26" s="16" t="s">
        <v>196</v>
      </c>
      <c r="H26" s="16" t="s">
        <v>197</v>
      </c>
      <c r="I26" s="18" t="s">
        <v>57</v>
      </c>
      <c r="J26" s="18" t="s">
        <v>58</v>
      </c>
      <c r="K26" s="15"/>
      <c r="L26" s="15"/>
      <c r="M26" s="19" t="s">
        <v>198</v>
      </c>
    </row>
    <row customHeight="true" ht="86" r="27">
      <c r="A27" s="18" t="s">
        <v>199</v>
      </c>
      <c r="B27" s="16" t="s">
        <v>200</v>
      </c>
      <c r="C27" s="15" t="s">
        <v>51</v>
      </c>
      <c r="D27" s="16" t="s">
        <v>201</v>
      </c>
      <c r="E27" s="15" t="s">
        <v>53</v>
      </c>
      <c r="F27" s="16" t="s">
        <v>202</v>
      </c>
      <c r="G27" s="16" t="s">
        <v>203</v>
      </c>
      <c r="H27" s="16" t="s">
        <v>204</v>
      </c>
      <c r="I27" s="18" t="s">
        <v>57</v>
      </c>
      <c r="J27" s="18" t="s">
        <v>58</v>
      </c>
      <c r="K27" s="15"/>
      <c r="L27" s="15"/>
      <c r="M27" s="19" t="s">
        <v>198</v>
      </c>
    </row>
    <row customHeight="true" ht="86" r="28">
      <c r="A28" s="18" t="s">
        <v>205</v>
      </c>
      <c r="B28" s="16" t="s">
        <v>206</v>
      </c>
      <c r="C28" s="15" t="s">
        <v>51</v>
      </c>
      <c r="D28" s="16" t="s">
        <v>207</v>
      </c>
      <c r="E28" s="15" t="s">
        <v>53</v>
      </c>
      <c r="F28" s="16" t="s">
        <v>208</v>
      </c>
      <c r="G28" s="16" t="s">
        <v>209</v>
      </c>
      <c r="H28" s="16" t="s">
        <v>210</v>
      </c>
      <c r="I28" s="18" t="s">
        <v>57</v>
      </c>
      <c r="J28" s="18" t="s">
        <v>58</v>
      </c>
      <c r="K28" s="15"/>
      <c r="L28" s="15"/>
      <c r="M28" s="19" t="s">
        <v>211</v>
      </c>
    </row>
    <row customHeight="true" ht="86" r="29">
      <c r="A29" s="18" t="s">
        <v>212</v>
      </c>
      <c r="B29" s="16" t="s">
        <v>213</v>
      </c>
      <c r="C29" s="15" t="s">
        <v>51</v>
      </c>
      <c r="D29" s="16" t="s">
        <v>214</v>
      </c>
      <c r="E29" s="15" t="s">
        <v>53</v>
      </c>
      <c r="F29" s="16" t="s">
        <v>208</v>
      </c>
      <c r="G29" s="16" t="s">
        <v>215</v>
      </c>
      <c r="H29" s="16" t="s">
        <v>216</v>
      </c>
      <c r="I29" s="18" t="s">
        <v>57</v>
      </c>
      <c r="J29" s="18" t="s">
        <v>58</v>
      </c>
      <c r="K29" s="15"/>
      <c r="L29" s="15"/>
      <c r="M29" s="19" t="s">
        <v>211</v>
      </c>
    </row>
    <row customHeight="true" ht="86" r="30">
      <c r="A30" s="18" t="s">
        <v>217</v>
      </c>
      <c r="B30" s="16" t="s">
        <v>218</v>
      </c>
      <c r="C30" s="15" t="s">
        <v>51</v>
      </c>
      <c r="D30" s="16" t="s">
        <v>219</v>
      </c>
      <c r="E30" s="15" t="s">
        <v>53</v>
      </c>
      <c r="F30" s="16" t="s">
        <v>220</v>
      </c>
      <c r="G30" s="16" t="s">
        <v>221</v>
      </c>
      <c r="H30" s="16" t="s">
        <v>222</v>
      </c>
      <c r="I30" s="18" t="s">
        <v>57</v>
      </c>
      <c r="J30" s="18" t="s">
        <v>58</v>
      </c>
      <c r="K30" s="15"/>
      <c r="L30" s="15"/>
      <c r="M30" s="19" t="s">
        <v>211</v>
      </c>
    </row>
    <row customHeight="true" ht="86" r="31">
      <c r="A31" s="18" t="s">
        <v>223</v>
      </c>
      <c r="B31" s="16" t="s">
        <v>224</v>
      </c>
      <c r="C31" s="15" t="s">
        <v>51</v>
      </c>
      <c r="D31" s="16" t="s">
        <v>225</v>
      </c>
      <c r="E31" s="15" t="s">
        <v>122</v>
      </c>
      <c r="F31" s="16" t="s">
        <v>226</v>
      </c>
      <c r="G31" s="16" t="s">
        <v>227</v>
      </c>
      <c r="H31" s="16" t="s">
        <v>228</v>
      </c>
      <c r="I31" s="18" t="s">
        <v>57</v>
      </c>
      <c r="J31" s="18" t="s">
        <v>58</v>
      </c>
      <c r="K31" s="15"/>
      <c r="L31" s="15"/>
      <c r="M31" s="19" t="s">
        <v>229</v>
      </c>
    </row>
    <row customHeight="true" ht="86" r="32">
      <c r="A32" s="18" t="s">
        <v>230</v>
      </c>
      <c r="B32" s="16" t="s">
        <v>231</v>
      </c>
      <c r="C32" s="15" t="s">
        <v>51</v>
      </c>
      <c r="D32" s="16" t="s">
        <v>232</v>
      </c>
      <c r="E32" s="15" t="s">
        <v>122</v>
      </c>
      <c r="F32" s="16" t="s">
        <v>233</v>
      </c>
      <c r="G32" s="16" t="s">
        <v>234</v>
      </c>
      <c r="H32" s="16" t="s">
        <v>235</v>
      </c>
      <c r="I32" s="18" t="s">
        <v>57</v>
      </c>
      <c r="J32" s="18" t="s">
        <v>58</v>
      </c>
      <c r="K32" s="15"/>
      <c r="L32" s="15"/>
      <c r="M32" s="19" t="s">
        <v>229</v>
      </c>
    </row>
    <row customHeight="true" ht="86" r="33">
      <c r="A33" s="18" t="s">
        <v>236</v>
      </c>
      <c r="B33" s="16" t="s">
        <v>237</v>
      </c>
      <c r="C33" s="15" t="s">
        <v>51</v>
      </c>
      <c r="D33" s="16" t="s">
        <v>238</v>
      </c>
      <c r="E33" s="15" t="s">
        <v>53</v>
      </c>
      <c r="F33" s="16" t="s">
        <v>239</v>
      </c>
      <c r="G33" s="16" t="s">
        <v>240</v>
      </c>
      <c r="H33" s="16" t="s">
        <v>241</v>
      </c>
      <c r="I33" s="18" t="s">
        <v>57</v>
      </c>
      <c r="J33" s="18" t="s">
        <v>58</v>
      </c>
      <c r="K33" s="15"/>
      <c r="L33" s="15"/>
      <c r="M33" s="19" t="s">
        <v>242</v>
      </c>
    </row>
    <row customHeight="true" ht="86" r="34">
      <c r="A34" s="18" t="s">
        <v>243</v>
      </c>
      <c r="B34" s="16" t="s">
        <v>244</v>
      </c>
      <c r="C34" s="15" t="s">
        <v>51</v>
      </c>
      <c r="D34" s="16" t="s">
        <v>245</v>
      </c>
      <c r="E34" s="15" t="s">
        <v>53</v>
      </c>
      <c r="F34" s="16" t="s">
        <v>246</v>
      </c>
      <c r="G34" s="16" t="s">
        <v>247</v>
      </c>
      <c r="H34" s="16" t="s">
        <v>248</v>
      </c>
      <c r="I34" s="18" t="s">
        <v>57</v>
      </c>
      <c r="J34" s="18" t="s">
        <v>58</v>
      </c>
      <c r="K34" s="15"/>
      <c r="L34" s="15"/>
      <c r="M34" s="19" t="s">
        <v>242</v>
      </c>
    </row>
    <row customHeight="true" ht="86" r="35">
      <c r="A35" s="18" t="s">
        <v>249</v>
      </c>
      <c r="B35" s="16" t="s">
        <v>250</v>
      </c>
      <c r="C35" s="15" t="s">
        <v>51</v>
      </c>
      <c r="D35" s="16" t="s">
        <v>251</v>
      </c>
      <c r="E35" s="15" t="s">
        <v>53</v>
      </c>
      <c r="F35" s="16" t="s">
        <v>252</v>
      </c>
      <c r="G35" s="16" t="s">
        <v>253</v>
      </c>
      <c r="H35" s="16" t="s">
        <v>254</v>
      </c>
      <c r="I35" s="18" t="s">
        <v>57</v>
      </c>
      <c r="J35" s="18" t="s">
        <v>58</v>
      </c>
      <c r="K35" s="15"/>
      <c r="L35" s="15"/>
      <c r="M35" s="19" t="s">
        <v>255</v>
      </c>
    </row>
    <row customHeight="true" ht="86" r="36">
      <c r="A36" s="18" t="s">
        <v>256</v>
      </c>
      <c r="B36" s="16" t="s">
        <v>257</v>
      </c>
      <c r="C36" s="15" t="s">
        <v>51</v>
      </c>
      <c r="D36" s="16" t="s">
        <v>258</v>
      </c>
      <c r="E36" s="15" t="s">
        <v>53</v>
      </c>
      <c r="F36" s="16" t="s">
        <v>259</v>
      </c>
      <c r="G36" s="16" t="s">
        <v>260</v>
      </c>
      <c r="H36" s="16" t="s">
        <v>261</v>
      </c>
      <c r="I36" s="18" t="s">
        <v>57</v>
      </c>
      <c r="J36" s="18" t="s">
        <v>58</v>
      </c>
      <c r="K36" s="15"/>
      <c r="L36" s="15"/>
      <c r="M36" s="19" t="s">
        <v>255</v>
      </c>
    </row>
    <row customHeight="true" ht="86" r="37">
      <c r="A37" s="18" t="s">
        <v>262</v>
      </c>
      <c r="B37" s="16" t="s">
        <v>263</v>
      </c>
      <c r="C37" s="15" t="s">
        <v>51</v>
      </c>
      <c r="D37" s="16" t="s">
        <v>264</v>
      </c>
      <c r="E37" s="15" t="s">
        <v>53</v>
      </c>
      <c r="F37" s="16" t="s">
        <v>265</v>
      </c>
      <c r="G37" s="16" t="s">
        <v>266</v>
      </c>
      <c r="H37" s="16" t="s">
        <v>267</v>
      </c>
      <c r="I37" s="29" t="s">
        <v>57</v>
      </c>
      <c r="J37" s="29" t="s">
        <v>58</v>
      </c>
      <c r="K37" s="15"/>
      <c r="L37" s="15"/>
      <c r="M37" s="19" t="s">
        <v>255</v>
      </c>
    </row>
    <row customHeight="true" ht="86" r="38">
      <c r="A38" s="18" t="s">
        <v>268</v>
      </c>
      <c r="B38" s="16" t="s">
        <v>269</v>
      </c>
      <c r="C38" s="15" t="s">
        <v>270</v>
      </c>
      <c r="D38" s="16" t="s">
        <v>271</v>
      </c>
      <c r="E38" s="15" t="s">
        <v>53</v>
      </c>
      <c r="F38" s="16" t="s">
        <v>272</v>
      </c>
      <c r="G38" s="16" t="s">
        <v>273</v>
      </c>
      <c r="H38" s="16" t="s">
        <v>274</v>
      </c>
      <c r="I38" s="29" t="s">
        <v>57</v>
      </c>
      <c r="J38" s="18" t="s">
        <v>58</v>
      </c>
      <c r="K38" s="15"/>
      <c r="L38" s="15"/>
      <c r="M38" s="19" t="s">
        <v>275</v>
      </c>
    </row>
    <row customHeight="true" ht="86" r="39">
      <c r="A39" s="18" t="s">
        <v>276</v>
      </c>
      <c r="B39" s="16" t="s">
        <v>277</v>
      </c>
      <c r="C39" s="15" t="s">
        <v>270</v>
      </c>
      <c r="D39" s="16" t="s">
        <v>278</v>
      </c>
      <c r="E39" s="15" t="s">
        <v>53</v>
      </c>
      <c r="F39" s="16" t="s">
        <v>279</v>
      </c>
      <c r="G39" s="16" t="s">
        <v>280</v>
      </c>
      <c r="H39" s="16" t="s">
        <v>281</v>
      </c>
      <c r="I39" s="29" t="s">
        <v>57</v>
      </c>
      <c r="J39" s="18" t="s">
        <v>58</v>
      </c>
      <c r="K39" s="15"/>
      <c r="L39" s="15"/>
      <c r="M39" s="19" t="s">
        <v>275</v>
      </c>
    </row>
    <row customHeight="true" ht="86" r="40">
      <c r="A40" s="18" t="s">
        <v>282</v>
      </c>
      <c r="B40" s="16" t="s">
        <v>283</v>
      </c>
      <c r="C40" s="15" t="s">
        <v>270</v>
      </c>
      <c r="D40" s="16" t="s">
        <v>284</v>
      </c>
      <c r="E40" s="15" t="s">
        <v>53</v>
      </c>
      <c r="F40" s="16" t="s">
        <v>285</v>
      </c>
      <c r="G40" s="16" t="s">
        <v>286</v>
      </c>
      <c r="H40" s="16" t="s">
        <v>287</v>
      </c>
      <c r="I40" s="29" t="s">
        <v>57</v>
      </c>
      <c r="J40" s="18" t="s">
        <v>58</v>
      </c>
      <c r="K40" s="15"/>
      <c r="L40" s="15"/>
      <c r="M40" s="19" t="s">
        <v>275</v>
      </c>
    </row>
    <row customHeight="true" ht="86" r="41">
      <c r="A41" s="18" t="s">
        <v>288</v>
      </c>
      <c r="B41" s="16" t="s">
        <v>289</v>
      </c>
      <c r="C41" s="15" t="s">
        <v>290</v>
      </c>
      <c r="D41" s="16" t="s">
        <v>291</v>
      </c>
      <c r="E41" s="15" t="s">
        <v>53</v>
      </c>
      <c r="F41" s="16" t="s">
        <v>292</v>
      </c>
      <c r="G41" s="16" t="s">
        <v>293</v>
      </c>
      <c r="H41" s="16" t="s">
        <v>294</v>
      </c>
      <c r="I41" s="29" t="s">
        <v>57</v>
      </c>
      <c r="J41" s="18" t="s">
        <v>58</v>
      </c>
      <c r="K41" s="15"/>
      <c r="L41" s="15"/>
      <c r="M41" s="19" t="s">
        <v>295</v>
      </c>
    </row>
    <row customHeight="true" ht="86" r="42">
      <c r="A42" s="18" t="s">
        <v>296</v>
      </c>
      <c r="B42" s="16" t="s">
        <v>297</v>
      </c>
      <c r="C42" s="15" t="s">
        <v>290</v>
      </c>
      <c r="D42" s="16" t="s">
        <v>298</v>
      </c>
      <c r="E42" s="15" t="s">
        <v>53</v>
      </c>
      <c r="F42" s="16" t="s">
        <v>299</v>
      </c>
      <c r="G42" s="16" t="s">
        <v>300</v>
      </c>
      <c r="H42" s="16" t="s">
        <v>301</v>
      </c>
      <c r="I42" s="29" t="s">
        <v>57</v>
      </c>
      <c r="J42" s="18" t="s">
        <v>58</v>
      </c>
      <c r="K42" s="15"/>
      <c r="L42" s="15"/>
      <c r="M42" s="19" t="s">
        <v>295</v>
      </c>
    </row>
    <row customHeight="true" ht="86" r="43">
      <c r="A43" s="18" t="s">
        <v>302</v>
      </c>
      <c r="B43" s="16" t="s">
        <v>303</v>
      </c>
      <c r="C43" s="15" t="s">
        <v>290</v>
      </c>
      <c r="D43" s="16" t="s">
        <v>304</v>
      </c>
      <c r="E43" s="15" t="s">
        <v>53</v>
      </c>
      <c r="F43" s="16" t="s">
        <v>305</v>
      </c>
      <c r="G43" s="16" t="s">
        <v>306</v>
      </c>
      <c r="H43" s="16" t="s">
        <v>307</v>
      </c>
      <c r="I43" s="29" t="s">
        <v>57</v>
      </c>
      <c r="J43" s="18" t="s">
        <v>58</v>
      </c>
      <c r="K43" s="15"/>
      <c r="L43" s="15"/>
      <c r="M43" s="19" t="s">
        <v>295</v>
      </c>
    </row>
    <row customHeight="true" ht="86" r="44">
      <c r="A44" s="18" t="s">
        <v>308</v>
      </c>
      <c r="B44" s="16" t="s">
        <v>309</v>
      </c>
      <c r="C44" s="15" t="s">
        <v>290</v>
      </c>
      <c r="D44" s="16" t="s">
        <v>310</v>
      </c>
      <c r="E44" s="15" t="s">
        <v>122</v>
      </c>
      <c r="F44" s="16" t="s">
        <v>311</v>
      </c>
      <c r="G44" s="16" t="s">
        <v>312</v>
      </c>
      <c r="H44" s="16" t="s">
        <v>313</v>
      </c>
      <c r="I44" s="29" t="s">
        <v>57</v>
      </c>
      <c r="J44" s="18" t="s">
        <v>58</v>
      </c>
      <c r="K44" s="15"/>
      <c r="L44" s="15"/>
      <c r="M44" s="19" t="s">
        <v>314</v>
      </c>
    </row>
    <row customHeight="true" ht="86" r="45">
      <c r="A45" s="18" t="s">
        <v>315</v>
      </c>
      <c r="B45" s="16" t="s">
        <v>316</v>
      </c>
      <c r="C45" s="15" t="s">
        <v>317</v>
      </c>
      <c r="D45" s="16" t="s">
        <v>318</v>
      </c>
      <c r="E45" s="15" t="s">
        <v>53</v>
      </c>
      <c r="F45" s="16" t="s">
        <v>319</v>
      </c>
      <c r="G45" s="16" t="s">
        <v>320</v>
      </c>
      <c r="H45" s="16" t="s">
        <v>321</v>
      </c>
      <c r="I45" s="29" t="s">
        <v>57</v>
      </c>
      <c r="J45" s="18" t="s">
        <v>58</v>
      </c>
      <c r="K45" s="15"/>
      <c r="L45" s="15"/>
      <c r="M45" s="19" t="s">
        <v>322</v>
      </c>
    </row>
    <row customHeight="true" ht="86" r="46">
      <c r="A46" s="18" t="s">
        <v>323</v>
      </c>
      <c r="B46" s="16" t="s">
        <v>324</v>
      </c>
      <c r="C46" s="15" t="s">
        <v>317</v>
      </c>
      <c r="D46" s="16" t="s">
        <v>325</v>
      </c>
      <c r="E46" s="15" t="s">
        <v>53</v>
      </c>
      <c r="F46" s="16" t="s">
        <v>326</v>
      </c>
      <c r="G46" s="16" t="s">
        <v>327</v>
      </c>
      <c r="H46" s="16" t="s">
        <v>328</v>
      </c>
      <c r="I46" s="29" t="s">
        <v>57</v>
      </c>
      <c r="J46" s="18" t="s">
        <v>58</v>
      </c>
      <c r="K46" s="15"/>
      <c r="L46" s="15"/>
      <c r="M46" s="19" t="s">
        <v>329</v>
      </c>
    </row>
    <row customHeight="true" ht="86" r="47">
      <c r="A47" s="18" t="s">
        <v>330</v>
      </c>
      <c r="B47" s="16" t="s">
        <v>331</v>
      </c>
      <c r="C47" s="15" t="s">
        <v>317</v>
      </c>
      <c r="D47" s="16" t="s">
        <v>332</v>
      </c>
      <c r="E47" s="15" t="s">
        <v>53</v>
      </c>
      <c r="F47" s="16" t="s">
        <v>333</v>
      </c>
      <c r="G47" s="16" t="s">
        <v>334</v>
      </c>
      <c r="H47" s="16" t="s">
        <v>335</v>
      </c>
      <c r="I47" s="29" t="s">
        <v>57</v>
      </c>
      <c r="J47" s="18" t="s">
        <v>58</v>
      </c>
      <c r="K47" s="15"/>
      <c r="L47" s="15"/>
      <c r="M47" s="19" t="s">
        <v>336</v>
      </c>
    </row>
    <row customHeight="true" ht="86" r="48">
      <c r="A48" s="18" t="s">
        <v>337</v>
      </c>
      <c r="B48" s="16" t="s">
        <v>338</v>
      </c>
      <c r="C48" s="15" t="s">
        <v>339</v>
      </c>
      <c r="D48" s="16" t="s">
        <v>340</v>
      </c>
      <c r="E48" s="15" t="s">
        <v>53</v>
      </c>
      <c r="F48" s="16" t="s">
        <v>341</v>
      </c>
      <c r="G48" s="16" t="s">
        <v>342</v>
      </c>
      <c r="H48" s="16" t="s">
        <v>343</v>
      </c>
      <c r="I48" s="29" t="s">
        <v>57</v>
      </c>
      <c r="J48" s="18" t="s">
        <v>58</v>
      </c>
      <c r="K48" s="15"/>
      <c r="L48" s="15"/>
      <c r="M48" s="19" t="s">
        <v>344</v>
      </c>
    </row>
    <row customHeight="true" ht="86" r="49">
      <c r="A49" s="18" t="s">
        <v>345</v>
      </c>
      <c r="B49" s="16" t="s">
        <v>346</v>
      </c>
      <c r="C49" s="15" t="s">
        <v>339</v>
      </c>
      <c r="D49" s="16" t="s">
        <v>347</v>
      </c>
      <c r="E49" s="15" t="s">
        <v>53</v>
      </c>
      <c r="F49" s="16" t="s">
        <v>348</v>
      </c>
      <c r="G49" s="16" t="s">
        <v>349</v>
      </c>
      <c r="H49" s="16" t="s">
        <v>350</v>
      </c>
      <c r="I49" s="29" t="s">
        <v>57</v>
      </c>
      <c r="J49" s="18" t="s">
        <v>58</v>
      </c>
      <c r="K49" s="15"/>
      <c r="L49" s="15"/>
      <c r="M49" s="19" t="s">
        <v>351</v>
      </c>
    </row>
    <row customHeight="true" ht="86" r="50">
      <c r="A50" s="18" t="s">
        <v>352</v>
      </c>
      <c r="B50" s="16" t="s">
        <v>353</v>
      </c>
      <c r="C50" s="15" t="s">
        <v>339</v>
      </c>
      <c r="D50" s="16" t="s">
        <v>354</v>
      </c>
      <c r="E50" s="15" t="s">
        <v>53</v>
      </c>
      <c r="F50" s="16" t="s">
        <v>355</v>
      </c>
      <c r="G50" s="16" t="s">
        <v>356</v>
      </c>
      <c r="H50" s="16" t="s">
        <v>357</v>
      </c>
      <c r="I50" s="29" t="s">
        <v>57</v>
      </c>
      <c r="J50" s="18" t="s">
        <v>58</v>
      </c>
      <c r="K50" s="15"/>
      <c r="L50" s="15"/>
      <c r="M50" s="19" t="s">
        <v>358</v>
      </c>
    </row>
    <row customHeight="true" ht="86" r="51">
      <c r="A51" s="18" t="s">
        <v>359</v>
      </c>
      <c r="B51" s="16" t="s">
        <v>360</v>
      </c>
      <c r="C51" s="15" t="s">
        <v>361</v>
      </c>
      <c r="D51" s="16" t="s">
        <v>362</v>
      </c>
      <c r="E51" s="15" t="s">
        <v>53</v>
      </c>
      <c r="F51" s="16" t="s">
        <v>363</v>
      </c>
      <c r="G51" s="16" t="s">
        <v>364</v>
      </c>
      <c r="H51" s="16" t="s">
        <v>365</v>
      </c>
      <c r="I51" s="29" t="s">
        <v>57</v>
      </c>
      <c r="J51" s="18" t="s">
        <v>58</v>
      </c>
      <c r="K51" s="15"/>
      <c r="L51" s="15"/>
      <c r="M51" s="19" t="s">
        <v>366</v>
      </c>
    </row>
    <row customHeight="true" ht="86" r="52">
      <c r="A52" s="18" t="s">
        <v>367</v>
      </c>
      <c r="B52" s="16" t="s">
        <v>368</v>
      </c>
      <c r="C52" s="15" t="s">
        <v>361</v>
      </c>
      <c r="D52" s="16" t="s">
        <v>369</v>
      </c>
      <c r="E52" s="15" t="s">
        <v>53</v>
      </c>
      <c r="F52" s="16" t="s">
        <v>370</v>
      </c>
      <c r="G52" s="16" t="s">
        <v>371</v>
      </c>
      <c r="H52" s="16" t="s">
        <v>372</v>
      </c>
      <c r="I52" s="29" t="s">
        <v>57</v>
      </c>
      <c r="J52" s="18" t="s">
        <v>58</v>
      </c>
      <c r="K52" s="15"/>
      <c r="L52" s="15"/>
      <c r="M52" s="19" t="s">
        <v>373</v>
      </c>
    </row>
    <row customHeight="true" ht="86" r="53">
      <c r="A53" s="18" t="s">
        <v>374</v>
      </c>
      <c r="B53" s="16" t="s">
        <v>375</v>
      </c>
      <c r="C53" s="15" t="s">
        <v>361</v>
      </c>
      <c r="D53" s="16" t="s">
        <v>376</v>
      </c>
      <c r="E53" s="15" t="s">
        <v>122</v>
      </c>
      <c r="F53" s="16" t="s">
        <v>377</v>
      </c>
      <c r="G53" s="16" t="s">
        <v>378</v>
      </c>
      <c r="H53" s="16" t="s">
        <v>379</v>
      </c>
      <c r="I53" s="29" t="s">
        <v>57</v>
      </c>
      <c r="J53" s="18" t="s">
        <v>58</v>
      </c>
      <c r="K53" s="15"/>
      <c r="L53" s="15"/>
      <c r="M53" s="19" t="s">
        <v>373</v>
      </c>
    </row>
    <row customHeight="true" ht="86" r="54">
      <c r="A54" s="18" t="s">
        <v>380</v>
      </c>
      <c r="B54" s="16" t="s">
        <v>381</v>
      </c>
      <c r="C54" s="15" t="s">
        <v>382</v>
      </c>
      <c r="D54" s="16" t="s">
        <v>383</v>
      </c>
      <c r="E54" s="15" t="s">
        <v>122</v>
      </c>
      <c r="F54" s="16" t="s">
        <v>384</v>
      </c>
      <c r="G54" s="16" t="s">
        <v>385</v>
      </c>
      <c r="H54" s="16" t="s">
        <v>386</v>
      </c>
      <c r="I54" s="29" t="s">
        <v>57</v>
      </c>
      <c r="J54" s="18" t="s">
        <v>58</v>
      </c>
      <c r="K54" s="15"/>
      <c r="L54" s="15"/>
      <c r="M54" s="19" t="s">
        <v>387</v>
      </c>
    </row>
    <row customHeight="true" ht="86" r="55">
      <c r="A55" s="18" t="s">
        <v>388</v>
      </c>
      <c r="B55" s="16" t="s">
        <v>389</v>
      </c>
      <c r="C55" s="15" t="s">
        <v>382</v>
      </c>
      <c r="D55" s="16" t="s">
        <v>390</v>
      </c>
      <c r="E55" s="15" t="s">
        <v>122</v>
      </c>
      <c r="F55" s="16" t="s">
        <v>391</v>
      </c>
      <c r="G55" s="16" t="s">
        <v>392</v>
      </c>
      <c r="H55" s="16" t="s">
        <v>393</v>
      </c>
      <c r="I55" s="29" t="s">
        <v>57</v>
      </c>
      <c r="J55" s="18" t="s">
        <v>58</v>
      </c>
      <c r="K55" s="15"/>
      <c r="L55" s="15"/>
      <c r="M55" s="19" t="s">
        <v>394</v>
      </c>
    </row>
    <row customHeight="true" ht="86" r="56">
      <c r="A56" s="18" t="s">
        <v>395</v>
      </c>
      <c r="B56" s="16" t="s">
        <v>396</v>
      </c>
      <c r="C56" s="15" t="s">
        <v>397</v>
      </c>
      <c r="D56" s="16" t="s">
        <v>398</v>
      </c>
      <c r="E56" s="15" t="s">
        <v>53</v>
      </c>
      <c r="F56" s="16" t="s">
        <v>399</v>
      </c>
      <c r="G56" s="16" t="s">
        <v>400</v>
      </c>
      <c r="H56" s="16" t="s">
        <v>401</v>
      </c>
      <c r="I56" s="29" t="s">
        <v>57</v>
      </c>
      <c r="J56" s="18" t="s">
        <v>58</v>
      </c>
      <c r="K56" s="15"/>
      <c r="L56" s="15"/>
      <c r="M56" s="19" t="s">
        <v>366</v>
      </c>
    </row>
    <row customHeight="true" ht="86" r="57">
      <c r="A57" s="18" t="s">
        <v>402</v>
      </c>
      <c r="B57" s="16" t="s">
        <v>403</v>
      </c>
      <c r="C57" s="15" t="s">
        <v>397</v>
      </c>
      <c r="D57" s="16" t="s">
        <v>404</v>
      </c>
      <c r="E57" s="15" t="s">
        <v>53</v>
      </c>
      <c r="F57" s="16" t="s">
        <v>405</v>
      </c>
      <c r="G57" s="16" t="s">
        <v>406</v>
      </c>
      <c r="H57" s="16" t="s">
        <v>407</v>
      </c>
      <c r="I57" s="29" t="s">
        <v>57</v>
      </c>
      <c r="J57" s="18" t="s">
        <v>58</v>
      </c>
      <c r="K57" s="15"/>
      <c r="L57" s="15"/>
      <c r="M57" s="19" t="s">
        <v>387</v>
      </c>
    </row>
  </sheetData>
  <mergeCells>
    <mergeCell ref="A1:M2"/>
  </mergeCells>
  <conditionalFormatting sqref="J5:J57">
    <cfRule dxfId="0" operator="containsText" priority="2" stopIfTrue="true" text="通过" type="containsText">
      <formula>NOT(ISERROR(SEARCH("通过",J5)))</formula>
    </cfRule>
  </conditionalFormatting>
  <conditionalFormatting sqref="J5:J57">
    <cfRule dxfId="1" operator="containsText" priority="3" stopIfTrue="true" text="不通过" type="containsText">
      <formula>NOT(ISERROR(SEARCH("不通过",J5)))</formula>
    </cfRule>
  </conditionalFormatting>
  <conditionalFormatting sqref="J5:J57">
    <cfRule dxfId="2" operator="containsText" priority="4" stopIfTrue="true" text="阻塞" type="containsText">
      <formula>NOT(ISERROR(SEARCH("阻塞",J5)))</formula>
    </cfRule>
  </conditionalFormatting>
  <dataValidations count="4">
    <dataValidation allowBlank="true" errorStyle="stop" showErrorMessage="true" sqref="E5:E57" type="list">
      <formula1>"高,中,低"</formula1>
    </dataValidation>
    <dataValidation allowBlank="true" errorStyle="stop" showErrorMessage="true" sqref="J5:J57" type="list">
      <formula1>"通过,不通过,阻塞,未执行"</formula1>
    </dataValidation>
    <dataValidation allowBlank="true" errorStyle="stop" showErrorMessage="true" sqref="K5:K57" type="list">
      <formula1>"致命,严重,一般,轻微,建议"</formula1>
    </dataValidation>
    <dataValidation allowBlank="true" errorStyle="stop" showErrorMessage="true" sqref="C5:C57" type="list">
      <formula1>"功能测试,准确性测试,性能测试,可靠性测试,安全性测试,兼容性测试,易用性测试,部署测试"</formula1>
    </dataValidation>
  </dataValidations>
  <pageMargins bottom="0.75" footer="0.3" header="0.3" left="0.7" right="0.7" top="0.75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1" defaultRowHeight="16"/>
  <cols>
    <col collapsed="false" customWidth="true" hidden="false" max="1" min="1" style="0" width="12"/>
    <col collapsed="false" customWidth="true" hidden="false" max="2" min="2" style="0" width="72"/>
  </cols>
  <sheetData>
    <row customHeight="true" ht="15" r="1">
      <c r="A1" s="30" t="s">
        <v>408</v>
      </c>
      <c r="B1" s="30" t="s">
        <v>409</v>
      </c>
    </row>
    <row customHeight="true" ht="52" r="2">
      <c r="A2" s="31" t="s">
        <v>410</v>
      </c>
      <c r="B2" s="32" t="s">
        <v>411</v>
      </c>
    </row>
    <row customHeight="true" ht="52" r="3">
      <c r="A3" s="31" t="s">
        <v>412</v>
      </c>
      <c r="B3" s="32" t="s">
        <v>413</v>
      </c>
    </row>
    <row customHeight="true" ht="52" r="4">
      <c r="A4" s="31" t="s">
        <v>414</v>
      </c>
      <c r="B4" s="32" t="s">
        <v>415</v>
      </c>
    </row>
    <row customHeight="true" ht="52" r="5">
      <c r="A5" s="31" t="s">
        <v>416</v>
      </c>
      <c r="B5" s="32" t="s">
        <v>417</v>
      </c>
    </row>
    <row customHeight="true" ht="52" r="6">
      <c r="A6" s="31" t="s">
        <v>418</v>
      </c>
      <c r="B6" s="32" t="s">
        <v>419</v>
      </c>
    </row>
    <row customHeight="true" ht="52" r="7">
      <c r="A7" s="31" t="s">
        <v>420</v>
      </c>
      <c r="B7" s="32" t="s">
        <v>421</v>
      </c>
    </row>
    <row customHeight="true" ht="52" r="8">
      <c r="A8" s="31" t="s">
        <v>422</v>
      </c>
      <c r="B8" s="32" t="s">
        <v>423</v>
      </c>
    </row>
    <row customHeight="true" ht="52" r="9">
      <c r="A9" s="31" t="s">
        <v>424</v>
      </c>
      <c r="B9" s="32" t="s">
        <v>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