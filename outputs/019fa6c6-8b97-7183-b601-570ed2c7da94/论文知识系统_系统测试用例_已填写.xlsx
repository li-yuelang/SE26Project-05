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d952a0c8b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8f10bcf9457b4779"/>
    <x:sheet xmlns:r="http://schemas.openxmlformats.org/officeDocument/2006/relationships" name="Test Cases" sheetId="2" r:id="R1b178e74992d4f5d"/>
    <x:sheet xmlns:r="http://schemas.openxmlformats.org/officeDocument/2006/relationships" name="常用测试方法" sheetId="3" r:id="R11615bd9143f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1"/>
      <x:color rgb="FF11182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AF1DC"/>
      </x:patternFill>
    </x:fill>
    <x:fill>
      <x:patternFill patternType="solid">
        <x:fgColor rgb="FF225D6B"/>
      </x:patternFill>
    </x:fill>
    <x:fill>
      <x:patternFill patternType="solid">
        <x:fgColor rgb="FFDCE6F1"/>
      </x:patternFill>
    </x:fill>
    <x:fill>
      <x:patternFill patternType="solid">
        <x:fgColor rgb="FFD7E3BC"/>
      </x:patternFill>
    </x:fill>
  </x:fills>
  <x:borders count="4">
    <x:border/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  <x:border>
      <x:left style="medium">
        <x:color rgb="FF374151"/>
      </x:left>
      <x:right style="medium">
        <x:color rgb="FF374151"/>
      </x:right>
      <x:top style="medium">
        <x:color rgb="FF374151"/>
      </x:top>
      <x:bottom style="medium">
        <x:color rgb="FF37415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201" fontId="0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201" fontId="0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horizontal="center"/>
    </x:xf>
    <x:xf numFmtId="201" fontId="4" fillId="6" borderId="3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 vertical="center"/>
    </x:xf>
    <x:xf numFmtId="201" fontId="4" fillId="6" borderId="3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8f213cec04930" /><Relationship Type="http://schemas.openxmlformats.org/officeDocument/2006/relationships/theme" Target="/xl/theme/theme1.xml" Id="Rb04732d8e5c243ee" /><Relationship Type="http://schemas.openxmlformats.org/officeDocument/2006/relationships/sharedStrings" Target="/xl/sharedStrings.xml" Id="R82ff12524c2e494e" /><Relationship Type="http://schemas.openxmlformats.org/officeDocument/2006/relationships/worksheet" Target="/xl/worksheets/sheet1.xml" Id="R8f10bcf9457b4779" /><Relationship Type="http://schemas.openxmlformats.org/officeDocument/2006/relationships/worksheet" Target="/xl/worksheets/sheet2.xml" Id="R1b178e74992d4f5d" /><Relationship Type="http://schemas.openxmlformats.org/officeDocument/2006/relationships/worksheet" Target="/xl/worksheets/sheet3.xml" Id="R11615bd9143f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21.110000610351562" hidden="0" customWidth="1"/>
    <x:col min="4" max="4" width="11.109999656677246" hidden="0" customWidth="1"/>
    <x:col min="5" max="5" width="11.109999656677246" hidden="0" customWidth="1"/>
    <x:col min="6" max="6" width="16.670000076293945" hidden="0" customWidth="1"/>
  </x:cols>
  <x:sheetData>
    <x:row r="1" ht="38" customHeight="1">
      <x:c r="A1" s="19" t="str">
        <x:v>论文知识管理与智能问答系统测试用例</x:v>
      </x:c>
      <x:c r="B1" s="19"/>
      <x:c r="C1" s="19"/>
      <x:c r="D1" s="19"/>
      <x:c r="E1" s="19"/>
      <x:c r="F1" s="19"/>
    </x:row>
    <x:row r="3" ht="38" customHeight="1">
      <x:c r="A3" s="30" t="str">
        <x:v>项目名称
Project Name</x:v>
      </x:c>
      <x:c r="B3" s="30"/>
      <x:c r="C3" s="26" t="str">
        <x:v>论文知识管理与智能问答系统</x:v>
      </x:c>
      <x:c r="D3" s="26"/>
      <x:c r="E3" s="26"/>
      <x:c r="F3" s="26"/>
    </x:row>
    <x:row r="4" ht="38" customHeight="1">
      <x:c r="A4" s="30" t="str">
        <x:v>项目编号
Project ID</x:v>
      </x:c>
      <x:c r="B4" s="30"/>
      <x:c r="C4" s="26" t="str">
        <x:v>SE26Project-05</x:v>
      </x:c>
      <x:c r="D4" s="30" t="str">
        <x:v>版本
Version</x:v>
      </x:c>
      <x:c r="E4" s="30" t="str">
        <x:v>1.0</x:v>
      </x:c>
      <x:c r="F4" s="26" t="str">
        <x:v>SE26Project-05_STC_001</x:v>
      </x:c>
    </x:row>
    <x:row r="5" ht="38" customHeight="1">
      <x:c r="A5" s="30" t="str">
        <x:v>拟制
Prepared by</x:v>
      </x:c>
      <x:c r="B5" s="30"/>
      <x:c r="C5" s="26" t="str">
        <x:v>项目组</x:v>
      </x:c>
      <x:c r="D5" s="30" t="str">
        <x:v>日期
Date</x:v>
      </x:c>
      <x:c r="E5" s="30"/>
      <x:c r="F5" s="27" t="n">
        <x:v>46231</x:v>
      </x:c>
    </x:row>
    <x:row r="6" ht="38" customHeight="1">
      <x:c r="A6" s="30" t="str">
        <x:v>评审人
Reviewed by</x:v>
      </x:c>
      <x:c r="B6" s="30"/>
      <x:c r="C6" s="26"/>
      <x:c r="D6" s="30" t="str">
        <x:v>日期
Date</x:v>
      </x:c>
      <x:c r="E6" s="30"/>
      <x:c r="F6" s="27"/>
    </x:row>
    <x:row r="8">
      <x:c r="A8" s="19" t="str">
        <x:v>修订记录 Revision Record</x:v>
      </x:c>
      <x:c r="B8" s="19"/>
      <x:c r="C8" s="19"/>
      <x:c r="D8" s="19"/>
      <x:c r="E8" s="19"/>
      <x:c r="F8" s="19"/>
    </x:row>
    <x:row r="9" ht="32" customHeight="1">
      <x:c r="A9" s="30" t="str">
        <x:v>日期</x:v>
      </x:c>
      <x:c r="B9" s="30" t="str">
        <x:v>修订版本</x:v>
      </x:c>
      <x:c r="C9" s="30" t="str">
        <x:v>修改描述</x:v>
      </x:c>
      <x:c r="D9" s="30"/>
      <x:c r="E9" s="30"/>
      <x:c r="F9" s="30" t="str">
        <x:v>作者</x:v>
      </x:c>
    </x:row>
    <x:row r="10" ht="32" customHeight="1">
      <x:c r="A10" s="34" t="n">
        <x:v>46231</x:v>
      </x:c>
      <x:c r="B10" s="33" t="str">
        <x:v>1.00</x:v>
      </x:c>
      <x:c r="C10" s="33" t="str">
        <x:v>依据功能、非功能和进阶需求完成系统测试用例</x:v>
      </x:c>
      <x:c r="D10" s="33"/>
      <x:c r="E10" s="33"/>
      <x:c r="F10" s="33" t="str">
        <x:v>项目组</x:v>
      </x:c>
    </x:row>
    <x:row r="12">
      <x:c r="A12" s="19" t="str">
        <x:v>测试结果分析</x:v>
      </x:c>
      <x:c r="B12" s="19"/>
      <x:c r="C12" s="19"/>
      <x:c r="D12" s="19"/>
      <x:c r="E12" s="19"/>
      <x:c r="F12" s="19"/>
    </x:row>
    <x:row r="13">
      <x:c r="A13" s="40" t="str">
        <x:v>类别</x:v>
      </x:c>
      <x:c r="B13" s="40"/>
      <x:c r="C13" s="40"/>
      <x:c r="D13" s="40" t="str">
        <x:v>用例数</x:v>
      </x:c>
      <x:c r="E13" s="40" t="str">
        <x:v>通过数</x:v>
      </x:c>
      <x:c r="F13" s="40" t="str">
        <x:v>通过率</x:v>
      </x:c>
    </x:row>
    <x:row r="14" ht="28" customHeight="1">
      <x:c r="A14" s="47" t="str">
        <x:v>功能测试</x:v>
      </x:c>
      <x:c r="B14" s="47"/>
      <x:c r="C14" s="47"/>
      <x:c r="D14" s="47" t="n">
        <x:f>COUNTIF('Test Cases'!$C$5:$C$60,A14)</x:f>
        <x:v>36</x:v>
      </x:c>
      <x:c r="E14" s="47" t="n">
        <x:f>COUNTIFS('Test Cases'!$C$5:$C$60,A14,'Test Cases'!$J$5:$J$60,"通过")</x:f>
        <x:v>0</x:v>
      </x:c>
      <x:c r="F14" s="48" t="n">
        <x:f>IFERROR(E14/D14,0)</x:f>
        <x:v>0</x:v>
      </x:c>
    </x:row>
    <x:row r="15" ht="28" customHeight="1">
      <x:c r="A15" s="47" t="str">
        <x:v>准确性测试</x:v>
      </x:c>
      <x:c r="B15" s="47"/>
      <x:c r="C15" s="47"/>
      <x:c r="D15" s="47" t="n">
        <x:f>COUNTIF('Test Cases'!$C$5:$C$60,A15)</x:f>
        <x:v>3</x:v>
      </x:c>
      <x:c r="E15" s="47" t="n">
        <x:f>COUNTIFS('Test Cases'!$C$5:$C$60,A15,'Test Cases'!$J$5:$J$60,"通过")</x:f>
        <x:v>0</x:v>
      </x:c>
      <x:c r="F15" s="48" t="n">
        <x:f>IFERROR(E15/D15,0)</x:f>
        <x:v>0</x:v>
      </x:c>
    </x:row>
    <x:row r="16" ht="28" customHeight="1">
      <x:c r="A16" s="47" t="str">
        <x:v>性能测试</x:v>
      </x:c>
      <x:c r="B16" s="47"/>
      <x:c r="C16" s="47"/>
      <x:c r="D16" s="47" t="n">
        <x:f>COUNTIF('Test Cases'!$C$5:$C$60,A16)</x:f>
        <x:v>4</x:v>
      </x:c>
      <x:c r="E16" s="47" t="n">
        <x:f>COUNTIFS('Test Cases'!$C$5:$C$60,A16,'Test Cases'!$J$5:$J$60,"通过")</x:f>
        <x:v>0</x:v>
      </x:c>
      <x:c r="F16" s="48" t="n">
        <x:f>IFERROR(E16/D16,0)</x:f>
        <x:v>0</x:v>
      </x:c>
    </x:row>
    <x:row r="17" ht="28" customHeight="1">
      <x:c r="A17" s="47" t="str">
        <x:v>可靠性测试</x:v>
      </x:c>
      <x:c r="B17" s="47"/>
      <x:c r="C17" s="47"/>
      <x:c r="D17" s="47" t="n">
        <x:f>COUNTIF('Test Cases'!$C$5:$C$60,A17)</x:f>
        <x:v>3</x:v>
      </x:c>
      <x:c r="E17" s="47" t="n">
        <x:f>COUNTIFS('Test Cases'!$C$5:$C$60,A17,'Test Cases'!$J$5:$J$60,"通过")</x:f>
        <x:v>0</x:v>
      </x:c>
      <x:c r="F17" s="48" t="n">
        <x:f>IFERROR(E17/D17,0)</x:f>
        <x:v>0</x:v>
      </x:c>
    </x:row>
    <x:row r="18" ht="28" customHeight="1">
      <x:c r="A18" s="47" t="str">
        <x:v>安全性测试</x:v>
      </x:c>
      <x:c r="B18" s="47"/>
      <x:c r="C18" s="47"/>
      <x:c r="D18" s="47" t="n">
        <x:f>COUNTIF('Test Cases'!$C$5:$C$60,A18)</x:f>
        <x:v>3</x:v>
      </x:c>
      <x:c r="E18" s="47" t="n">
        <x:f>COUNTIFS('Test Cases'!$C$5:$C$60,A18,'Test Cases'!$J$5:$J$60,"通过")</x:f>
        <x:v>0</x:v>
      </x:c>
      <x:c r="F18" s="48" t="n">
        <x:f>IFERROR(E18/D18,0)</x:f>
        <x:v>0</x:v>
      </x:c>
    </x:row>
    <x:row r="19" ht="28" customHeight="1">
      <x:c r="A19" s="47" t="str">
        <x:v>兼容性测试</x:v>
      </x:c>
      <x:c r="B19" s="47"/>
      <x:c r="C19" s="47"/>
      <x:c r="D19" s="47" t="n">
        <x:f>COUNTIF('Test Cases'!$C$5:$C$60,A19)</x:f>
        <x:v>3</x:v>
      </x:c>
      <x:c r="E19" s="47" t="n">
        <x:f>COUNTIFS('Test Cases'!$C$5:$C$60,A19,'Test Cases'!$J$5:$J$60,"通过")</x:f>
        <x:v>0</x:v>
      </x:c>
      <x:c r="F19" s="48" t="n">
        <x:f>IFERROR(E19/D19,0)</x:f>
        <x:v>0</x:v>
      </x:c>
    </x:row>
    <x:row r="20" ht="28" customHeight="1">
      <x:c r="A20" s="47" t="str">
        <x:v>易用性测试</x:v>
      </x:c>
      <x:c r="B20" s="47"/>
      <x:c r="C20" s="47"/>
      <x:c r="D20" s="47" t="n">
        <x:f>COUNTIF('Test Cases'!$C$5:$C$60,A20)</x:f>
        <x:v>2</x:v>
      </x:c>
      <x:c r="E20" s="47" t="n">
        <x:f>COUNTIFS('Test Cases'!$C$5:$C$60,A20,'Test Cases'!$J$5:$J$60,"通过")</x:f>
        <x:v>0</x:v>
      </x:c>
      <x:c r="F20" s="48" t="n">
        <x:f>IFERROR(E20/D20,0)</x:f>
        <x:v>0</x:v>
      </x:c>
    </x:row>
    <x:row r="21" ht="28" customHeight="1">
      <x:c r="A21" s="47" t="str">
        <x:v>部署测试</x:v>
      </x:c>
      <x:c r="B21" s="47"/>
      <x:c r="C21" s="47"/>
      <x:c r="D21" s="47" t="n">
        <x:f>COUNTIF('Test Cases'!$C$5:$C$60,A21)</x:f>
        <x:v>2</x:v>
      </x:c>
      <x:c r="E21" s="47" t="n">
        <x:f>COUNTIFS('Test Cases'!$C$5:$C$60,A21,'Test Cases'!$J$5:$J$60,"通过")</x:f>
        <x:v>0</x:v>
      </x:c>
      <x:c r="F21" s="48" t="n">
        <x:f>IFERROR(E21/D21,0)</x:f>
        <x:v>0</x:v>
      </x:c>
    </x:row>
    <x:row r="22">
      <x:c r="A22" s="57" t="str">
        <x:v>合计</x:v>
      </x:c>
      <x:c r="B22" s="57"/>
      <x:c r="C22" s="57"/>
      <x:c r="D22" s="57" t="n">
        <x:f>SUM(D14:D21)</x:f>
        <x:v>56</x:v>
      </x:c>
      <x:c r="E22" s="57" t="n">
        <x:f>SUM(E14:E21)</x:f>
        <x:v>0</x:v>
      </x:c>
      <x:c r="F22" s="58" t="n">
        <x:f>IFERROR(E22/D22,0)</x:f>
        <x:v>0</x:v>
      </x:c>
    </x:row>
  </x:sheetData>
  <x:mergeCells>
    <x:mergeCell ref="A1:F1"/>
    <x:mergeCell ref="A3:B3"/>
    <x:mergeCell ref="C3:F3"/>
    <x:mergeCell ref="A4:B4"/>
    <x:mergeCell ref="A5:B5"/>
    <x:mergeCell ref="D5:E5"/>
    <x:mergeCell ref="A6:B6"/>
    <x:mergeCell ref="D6:E6"/>
    <x:mergeCell ref="A8:F8"/>
    <x:mergeCell ref="C9:E9"/>
    <x:mergeCell ref="C10:E10"/>
    <x:mergeCell ref="A12:F12"/>
    <x:mergeCell ref="A13:C13"/>
    <x:mergeCell ref="A14:C14"/>
    <x:mergeCell ref="A15:C15"/>
    <x:mergeCell ref="A16:C16"/>
    <x:mergeCell ref="A17:C17"/>
    <x:mergeCell ref="A18:C18"/>
    <x:mergeCell ref="A19:C19"/>
    <x:mergeCell ref="A20:C20"/>
    <x:mergeCell ref="A21:C21"/>
    <x:mergeCell ref="A22:C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2.220000267028809" hidden="0" customWidth="1"/>
    <x:col min="3" max="3" width="9.779999732971191" hidden="0" customWidth="1"/>
    <x:col min="4" max="4" width="20" hidden="0" customWidth="1"/>
    <x:col min="5" max="5" width="8.670000076293945" hidden="0" customWidth="1"/>
    <x:col min="6" max="6" width="21.110000610351562" hidden="0" customWidth="1"/>
    <x:col min="7" max="7" width="31.110000610351562" hidden="0" customWidth="1"/>
    <x:col min="8" max="8" width="24.440000534057617" hidden="0" customWidth="1"/>
    <x:col min="9" max="9" width="16.670000076293945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16.670000076293945" hidden="0" customWidth="1"/>
  </x:cols>
  <x:sheetData>
    <x:row r="1">
      <x:c r="A1" s="4" t="str">
        <x:v>测试用例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60" customHeight="1">
      <x:c r="A4" s="17" t="str">
        <x:v>Test Case ID
测试用例编号</x:v>
      </x:c>
      <x:c r="B4" s="17" t="str">
        <x:v>Test Item
测试项</x:v>
      </x:c>
      <x:c r="C4" s="17" t="str">
        <x:v>Test Type
测试类型</x:v>
      </x:c>
      <x:c r="D4" s="17" t="str">
        <x:v>Test Case Title
测试用例标题</x:v>
      </x:c>
      <x:c r="E4" s="17" t="str">
        <x:v>Test Criticality
测试优先级</x:v>
      </x:c>
      <x:c r="F4" s="17" t="str">
        <x:v>Pre-condition
预置条件</x:v>
      </x:c>
      <x:c r="G4" s="17" t="str">
        <x:v>Input &amp; Procedure
输入与操作</x:v>
      </x:c>
      <x:c r="H4" s="17" t="str">
        <x:v>Expected Output
预期结果</x:v>
      </x:c>
      <x:c r="I4" s="17" t="str">
        <x:v>Result
实际结果</x:v>
      </x:c>
      <x:c r="J4" s="17" t="str">
        <x:v>Status
是否通过</x:v>
      </x:c>
      <x:c r="K4" s="17" t="str">
        <x:v>BUG Severity
错误严重等级</x:v>
      </x:c>
      <x:c r="L4" s="17" t="str">
        <x:v>BUG ID
缺陷编号</x:v>
      </x:c>
      <x:c r="M4" s="17" t="str">
        <x:v>Remark
备注</x:v>
      </x:c>
    </x:row>
    <x:row r="5" ht="86" customHeight="1">
      <x:c r="A5" s="10" t="str">
        <x:v>TC-001</x:v>
      </x:c>
      <x:c r="B5" s="9" t="str">
        <x:v>论文抓取范围配置</x:v>
      </x:c>
      <x:c r="C5" s="10" t="str">
        <x:v>功能测试</x:v>
      </x:c>
      <x:c r="D5" s="9" t="str">
        <x:v>按学科或关键词配置抓取范围</x:v>
      </x:c>
      <x:c r="E5" s="10" t="str">
        <x:v>高</x:v>
      </x:c>
      <x:c r="F5" s="9" t="str">
        <x:v>管理员已登录；arXiv服务可访问</x:v>
      </x:c>
      <x:c r="G5" s="9" t="str">
        <x:v>1.新建抓取规则，选择学科cs.AI并填写关键词“knowledge graph”；
2.保存并启用规则；
3.执行一次抓取。</x:v>
      </x:c>
      <x:c r="H5" s="9" t="str">
        <x:v>规则保存成功；仅入库符合学科或关键词条件的论文；规则可停用、修改。</x:v>
      </x:c>
      <x:c r="I5" s="10"/>
      <x:c r="J5" s="10"/>
      <x:c r="K5" s="10"/>
      <x:c r="L5" s="10"/>
      <x:c r="M5" s="11" t="str">
        <x:v>需求追踪：FR-1.1</x:v>
      </x:c>
    </x:row>
    <x:row r="6" ht="86" customHeight="1">
      <x:c r="A6" s="10" t="str">
        <x:v>TC-002</x:v>
      </x:c>
      <x:c r="B6" s="9" t="str">
        <x:v>定时抓取任务</x:v>
      </x:c>
      <x:c r="C6" s="10" t="str">
        <x:v>功能测试</x:v>
      </x:c>
      <x:c r="D6" s="9" t="str">
        <x:v>按设定周期自动从arXiv抓取论文</x:v>
      </x:c>
      <x:c r="E6" s="10" t="str">
        <x:v>高</x:v>
      </x:c>
      <x:c r="F6" s="9" t="str">
        <x:v>已启用抓取规则；调度服务正常</x:v>
      </x:c>
      <x:c r="G6" s="9" t="str">
        <x:v>1.设置每日定时任务；
2.等待调度时间或推进测试时钟；
3.查看任务日志与新增论文。</x:v>
      </x:c>
      <x:c r="H6" s="9" t="str">
        <x:v>任务按时启动并结束；日志记录开始、结束、抓取数和异常；符合条件的新论文入库。</x:v>
      </x:c>
      <x:c r="I6" s="10"/>
      <x:c r="J6" s="10"/>
      <x:c r="K6" s="10"/>
      <x:c r="L6" s="10"/>
      <x:c r="M6" s="11" t="str">
        <x:v>需求追踪：FR-1.1</x:v>
      </x:c>
    </x:row>
    <x:row r="7" ht="86" customHeight="1">
      <x:c r="A7" s="10" t="str">
        <x:v>TC-003</x:v>
      </x:c>
      <x:c r="B7" s="9" t="str">
        <x:v>论文元数据入库</x:v>
      </x:c>
      <x:c r="C7" s="10" t="str">
        <x:v>功能测试</x:v>
      </x:c>
      <x:c r="D7" s="9" t="str">
        <x:v>完整保存和展示论文基本信息</x:v>
      </x:c>
      <x:c r="E7" s="10" t="str">
        <x:v>高</x:v>
      </x:c>
      <x:c r="F7" s="9" t="str">
        <x:v>存在包含完整元数据的arXiv论文</x:v>
      </x:c>
      <x:c r="G7" s="9" t="str">
        <x:v>1.抓取目标论文；
2.打开论文列表和详情页；
3.核对标题、作者、摘要、类别、发布时间、原文链接。</x:v>
      </x:c>
      <x:c r="H7" s="9" t="str">
        <x:v>六类基本信息均正确保存并展示；原文链接可访问；作者顺序与来源一致。</x:v>
      </x:c>
      <x:c r="I7" s="10"/>
      <x:c r="J7" s="10"/>
      <x:c r="K7" s="10"/>
      <x:c r="L7" s="10"/>
      <x:c r="M7" s="11" t="str">
        <x:v>需求追踪：FR-1.2</x:v>
      </x:c>
    </x:row>
    <x:row r="8" ht="86" customHeight="1">
      <x:c r="A8" s="10" t="str">
        <x:v>TC-004</x:v>
      </x:c>
      <x:c r="B8" s="9" t="str">
        <x:v>多维分类管理</x:v>
      </x:c>
      <x:c r="C8" s="10" t="str">
        <x:v>功能测试</x:v>
      </x:c>
      <x:c r="D8" s="9" t="str">
        <x:v>按主题、作者和时间分类浏览论文</x:v>
      </x:c>
      <x:c r="E8" s="10" t="str">
        <x:v>高</x:v>
      </x:c>
      <x:c r="F8" s="9" t="str">
        <x:v>知识库已有跨主题、跨作者、跨年份论文</x:v>
      </x:c>
      <x:c r="G8" s="9" t="str">
        <x:v>1.分别进入主题、作者、时间分类；
2.选择一个分类；
3.核对结果集。</x:v>
      </x:c>
      <x:c r="H8" s="9" t="str">
        <x:v>分类入口可用；每类结果与论文元数据一致；切换分类不会产生重复记录。</x:v>
      </x:c>
      <x:c r="I8" s="10"/>
      <x:c r="J8" s="10"/>
      <x:c r="K8" s="10"/>
      <x:c r="L8" s="10"/>
      <x:c r="M8" s="11" t="str">
        <x:v>需求追踪：FR-1.1</x:v>
      </x:c>
    </x:row>
    <x:row r="9" ht="86" customHeight="1">
      <x:c r="A9" s="10" t="str">
        <x:v>TC-005</x:v>
      </x:c>
      <x:c r="B9" s="9" t="str">
        <x:v>精确去重</x:v>
      </x:c>
      <x:c r="C9" s="10" t="str">
        <x:v>功能测试</x:v>
      </x:c>
      <x:c r="D9" s="9" t="str">
        <x:v>相同arXiv ID论文重复抓取不重复入库</x:v>
      </x:c>
      <x:c r="E9" s="10" t="str">
        <x:v>高</x:v>
      </x:c>
      <x:c r="F9" s="9" t="str">
        <x:v>目标论文已入库</x:v>
      </x:c>
      <x:c r="G9" s="9" t="str">
        <x:v>1.再次执行覆盖该论文的抓取任务；
2.查询该arXiv ID；
3.检查抓取日志。</x:v>
      </x:c>
      <x:c r="H9" s="9" t="str">
        <x:v>库中仍只有一条记录；允许更新变更的元数据；日志标识为重复或更新。</x:v>
      </x:c>
      <x:c r="I9" s="10"/>
      <x:c r="J9" s="10"/>
      <x:c r="K9" s="10"/>
      <x:c r="L9" s="10"/>
      <x:c r="M9" s="11" t="str">
        <x:v>需求追踪：FR-1.1</x:v>
      </x:c>
    </x:row>
    <x:row r="10" ht="86" customHeight="1">
      <x:c r="A10" s="10" t="str">
        <x:v>TC-006</x:v>
      </x:c>
      <x:c r="B10" s="9" t="str">
        <x:v>近似重复识别</x:v>
      </x:c>
      <x:c r="C10" s="10" t="str">
        <x:v>功能测试</x:v>
      </x:c>
      <x:c r="D10" s="9" t="str">
        <x:v>同一论文不同链接或版本的去重处理</x:v>
      </x:c>
      <x:c r="E10" s="10" t="str">
        <x:v>高</x:v>
      </x:c>
      <x:c r="F10" s="9" t="str">
        <x:v>准备标题近似且DOI/作者一致的两条来源数据</x:v>
      </x:c>
      <x:c r="G10" s="9" t="str">
        <x:v>1.依次导入两个来源；
2.查看论文列表；
3.检查版本信息。</x:v>
      </x:c>
      <x:c r="H10" s="9" t="str">
        <x:v>系统识别为同一论文并合并或建立版本关系；不生成两个独立主记录。</x:v>
      </x:c>
      <x:c r="I10" s="10"/>
      <x:c r="J10" s="10"/>
      <x:c r="K10" s="10"/>
      <x:c r="L10" s="10"/>
      <x:c r="M10" s="11" t="str">
        <x:v>需求追踪：FR-1.1</x:v>
      </x:c>
    </x:row>
    <x:row r="11" ht="86" customHeight="1">
      <x:c r="A11" s="10" t="str">
        <x:v>TC-007</x:v>
      </x:c>
      <x:c r="B11" s="9" t="str">
        <x:v>PDF结构化解析</x:v>
      </x:c>
      <x:c r="C11" s="10" t="str">
        <x:v>功能测试</x:v>
      </x:c>
      <x:c r="D11" s="9" t="str">
        <x:v>从PDF生成summary.md</x:v>
      </x:c>
      <x:c r="E11" s="10" t="str">
        <x:v>高</x:v>
      </x:c>
      <x:c r="F11" s="9" t="str">
        <x:v>论文PDF可下载且文本可解析</x:v>
      </x:c>
      <x:c r="G11" s="9" t="str">
        <x:v>1.触发论文解析；
2.等待任务完成；
3.打开summary.md。</x:v>
      </x:c>
      <x:c r="H11" s="9" t="str">
        <x:v>生成非空summary.md；内容覆盖研究背景、问题、方法和主要结论；与原文一致。</x:v>
      </x:c>
      <x:c r="I11" s="10"/>
      <x:c r="J11" s="10"/>
      <x:c r="K11" s="10"/>
      <x:c r="L11" s="10"/>
      <x:c r="M11" s="11" t="str">
        <x:v>需求追踪：FR-2.1</x:v>
      </x:c>
    </x:row>
    <x:row r="12" ht="86" customHeight="1">
      <x:c r="A12" s="10" t="str">
        <x:v>TC-008</x:v>
      </x:c>
      <x:c r="B12" s="9" t="str">
        <x:v>HTML结构化解析</x:v>
      </x:c>
      <x:c r="C12" s="10" t="str">
        <x:v>功能测试</x:v>
      </x:c>
      <x:c r="D12" s="9" t="str">
        <x:v>从HTML正文生成summary.md</x:v>
      </x:c>
      <x:c r="E12" s="10" t="str">
        <x:v>高</x:v>
      </x:c>
      <x:c r="F12" s="9" t="str">
        <x:v>论文存在可解析HTML页面</x:v>
      </x:c>
      <x:c r="G12" s="9" t="str">
        <x:v>1.选择HTML作为解析源；
2.触发解析；
3.打开summary.md并核对章节。</x:v>
      </x:c>
      <x:c r="H12" s="9" t="str">
        <x:v>HTML正文被正确提取；生成summary.md；导航、脚注等噪声不进入核心摘要。</x:v>
      </x:c>
      <x:c r="I12" s="10"/>
      <x:c r="J12" s="10"/>
      <x:c r="K12" s="10"/>
      <x:c r="L12" s="10"/>
      <x:c r="M12" s="11" t="str">
        <x:v>需求追踪：FR-2.1</x:v>
      </x:c>
    </x:row>
    <x:row r="13" ht="86" customHeight="1">
      <x:c r="A13" s="10" t="str">
        <x:v>TC-009</x:v>
      </x:c>
      <x:c r="B13" s="9" t="str">
        <x:v>概念文档生成</x:v>
      </x:c>
      <x:c r="C13" s="10" t="str">
        <x:v>功能测试</x:v>
      </x:c>
      <x:c r="D13" s="9" t="str">
        <x:v>自动生成concept.md并提取核心概念</x:v>
      </x:c>
      <x:c r="E13" s="10" t="str">
        <x:v>高</x:v>
      </x:c>
      <x:c r="F13" s="9" t="str">
        <x:v>论文解析成功</x:v>
      </x:c>
      <x:c r="G13" s="9" t="str">
        <x:v>1.打开concept.md；
2.核对核心概念、定义与原文位置；
3.检查概念标签。</x:v>
      </x:c>
      <x:c r="H13" s="9" t="str">
        <x:v>concept.md生成成功；核心概念、解释和来源位置完整；概念标签可用于检索。</x:v>
      </x:c>
      <x:c r="I13" s="10"/>
      <x:c r="J13" s="10"/>
      <x:c r="K13" s="10"/>
      <x:c r="L13" s="10"/>
      <x:c r="M13" s="11" t="str">
        <x:v>需求追踪：FR-2.1/2.2</x:v>
      </x:c>
    </x:row>
    <x:row r="14" ht="86" customHeight="1">
      <x:c r="A14" s="10" t="str">
        <x:v>TC-010</x:v>
      </x:c>
      <x:c r="B14" s="9" t="str">
        <x:v>方法文档生成</x:v>
      </x:c>
      <x:c r="C14" s="10" t="str">
        <x:v>功能测试</x:v>
      </x:c>
      <x:c r="D14" s="9" t="str">
        <x:v>自动生成methods.md并提取研究方法</x:v>
      </x:c>
      <x:c r="E14" s="10" t="str">
        <x:v>高</x:v>
      </x:c>
      <x:c r="F14" s="9" t="str">
        <x:v>论文解析成功且含方法章节</x:v>
      </x:c>
      <x:c r="G14" s="9" t="str">
        <x:v>1.打开methods.md；
2.核对方法名称、步骤、数据集和评价指标；
3.点击来源定位。</x:v>
      </x:c>
      <x:c r="H14" s="9" t="str">
        <x:v>methods.md结构清晰；方法要素与原文一致；来源定位可跳转到对应页或段落。</x:v>
      </x:c>
      <x:c r="I14" s="10"/>
      <x:c r="J14" s="10"/>
      <x:c r="K14" s="10"/>
      <x:c r="L14" s="10"/>
      <x:c r="M14" s="11" t="str">
        <x:v>需求追踪：FR-2.1/2.2</x:v>
      </x:c>
    </x:row>
    <x:row r="15" ht="86" customHeight="1">
      <x:c r="A15" s="10" t="str">
        <x:v>TC-011</x:v>
      </x:c>
      <x:c r="B15" s="9" t="str">
        <x:v>知识要素抽取</x:v>
      </x:c>
      <x:c r="C15" s="10" t="str">
        <x:v>功能测试</x:v>
      </x:c>
      <x:c r="D15" s="9" t="str">
        <x:v>抽取研究问题、方法和实验结论</x:v>
      </x:c>
      <x:c r="E15" s="10" t="str">
        <x:v>高</x:v>
      </x:c>
      <x:c r="F15" s="9" t="str">
        <x:v>准备带人工标注答案的论文样本</x:v>
      </x:c>
      <x:c r="G15" s="9" t="str">
        <x:v>1.执行知识抽取；
2.查看结构化字段；
3.与人工标注逐项比对。</x:v>
      </x:c>
      <x:c r="H15" s="9" t="str">
        <x:v>研究问题、方法、实验设置、结论均有结构化结果；缺失信息不臆造。</x:v>
      </x:c>
      <x:c r="I15" s="10"/>
      <x:c r="J15" s="10"/>
      <x:c r="K15" s="10"/>
      <x:c r="L15" s="10"/>
      <x:c r="M15" s="11" t="str">
        <x:v>需求追踪：FR-2.2</x:v>
      </x:c>
    </x:row>
    <x:row r="16" ht="86" customHeight="1">
      <x:c r="A16" s="10" t="str">
        <x:v>TC-012</x:v>
      </x:c>
      <x:c r="B16" s="9" t="str">
        <x:v>概念关联建立</x:v>
      </x:c>
      <x:c r="C16" s="10" t="str">
        <x:v>功能测试</x:v>
      </x:c>
      <x:c r="D16" s="9" t="str">
        <x:v>建立论文内及跨论文概念关联</x:v>
      </x:c>
      <x:c r="E16" s="10" t="str">
        <x:v>高</x:v>
      </x:c>
      <x:c r="F16" s="9" t="str">
        <x:v>至少两篇论文包含相同或上下位概念</x:v>
      </x:c>
      <x:c r="G16" s="9" t="str">
        <x:v>1.完成两篇论文解析；
2.打开概念关系视图；
3.检查关系类型及来源。</x:v>
      </x:c>
      <x:c r="H16" s="9" t="str">
        <x:v>生成合理的同义、上下位或相关关系；每条关系可追溯到论文与内容位置。</x:v>
      </x:c>
      <x:c r="I16" s="10"/>
      <x:c r="J16" s="10"/>
      <x:c r="K16" s="10"/>
      <x:c r="L16" s="10"/>
      <x:c r="M16" s="11" t="str">
        <x:v>需求追踪：FR-2.2</x:v>
      </x:c>
    </x:row>
    <x:row r="17" ht="86" customHeight="1">
      <x:c r="A17" s="10" t="str">
        <x:v>TC-013</x:v>
      </x:c>
      <x:c r="B17" s="9" t="str">
        <x:v>解析异常处理</x:v>
      </x:c>
      <x:c r="C17" s="10" t="str">
        <x:v>功能测试</x:v>
      </x:c>
      <x:c r="D17" s="9" t="str">
        <x:v>损坏或扫描型PDF解析失败可见且可重试</x:v>
      </x:c>
      <x:c r="E17" s="10" t="str">
        <x:v>中</x:v>
      </x:c>
      <x:c r="F17" s="9" t="str">
        <x:v>准备损坏PDF和无OCR文本PDF</x:v>
      </x:c>
      <x:c r="G17" s="9" t="str">
        <x:v>1.分别提交解析；
2.观察状态与提示；
3.修复文件后点击重试。</x:v>
      </x:c>
      <x:c r="H17" s="9" t="str">
        <x:v>任务不假成功；显示明确失败原因；重试后可恢复；已生成内容不被错误覆盖。</x:v>
      </x:c>
      <x:c r="I17" s="10"/>
      <x:c r="J17" s="10"/>
      <x:c r="K17" s="10"/>
      <x:c r="L17" s="10"/>
      <x:c r="M17" s="11" t="str">
        <x:v>需求追踪：FR-2.1</x:v>
      </x:c>
    </x:row>
    <x:row r="18" ht="86" customHeight="1">
      <x:c r="A18" s="10" t="str">
        <x:v>TC-014</x:v>
      </x:c>
      <x:c r="B18" s="9" t="str">
        <x:v>标题检索</x:v>
      </x:c>
      <x:c r="C18" s="10" t="str">
        <x:v>功能测试</x:v>
      </x:c>
      <x:c r="D18" s="9" t="str">
        <x:v>按完整或部分标题检索论文</x:v>
      </x:c>
      <x:c r="E18" s="10" t="str">
        <x:v>高</x:v>
      </x:c>
      <x:c r="F18" s="9" t="str">
        <x:v>知识库已有目标论文</x:v>
      </x:c>
      <x:c r="G18" s="9" t="str">
        <x:v>1.输入完整标题检索；
2.输入连续部分标题检索；
3.输入不存在标题。</x:v>
      </x:c>
      <x:c r="H18" s="9" t="str">
        <x:v>完整和部分标题均命中目标；结果高亮关键词；不存在时返回空态而非错误。</x:v>
      </x:c>
      <x:c r="I18" s="10"/>
      <x:c r="J18" s="10"/>
      <x:c r="K18" s="10"/>
      <x:c r="L18" s="10"/>
      <x:c r="M18" s="11" t="str">
        <x:v>需求追踪：FR-3.1</x:v>
      </x:c>
    </x:row>
    <x:row r="19" ht="86" customHeight="1">
      <x:c r="A19" s="10" t="str">
        <x:v>TC-015</x:v>
      </x:c>
      <x:c r="B19" s="9" t="str">
        <x:v>作者检索</x:v>
      </x:c>
      <x:c r="C19" s="10" t="str">
        <x:v>功能测试</x:v>
      </x:c>
      <x:c r="D19" s="9" t="str">
        <x:v>按作者姓名检索论文</x:v>
      </x:c>
      <x:c r="E19" s="10" t="str">
        <x:v>高</x:v>
      </x:c>
      <x:c r="F19" s="9" t="str">
        <x:v>知识库包含同名及多作者论文</x:v>
      </x:c>
      <x:c r="G19" s="9" t="str">
        <x:v>1.输入作者全名；
2.输入姓名片段；
3.核对多作者论文。</x:v>
      </x:c>
      <x:c r="H19" s="9" t="str">
        <x:v>返回该作者相关论文；多作者论文不遗漏；结果可继续筛选和排序。</x:v>
      </x:c>
      <x:c r="I19" s="10"/>
      <x:c r="J19" s="10"/>
      <x:c r="K19" s="10"/>
      <x:c r="L19" s="10"/>
      <x:c r="M19" s="11" t="str">
        <x:v>需求追踪：FR-3.1</x:v>
      </x:c>
    </x:row>
    <x:row r="20" ht="86" customHeight="1">
      <x:c r="A20" s="10" t="str">
        <x:v>TC-016</x:v>
      </x:c>
      <x:c r="B20" s="9" t="str">
        <x:v>多条件检索</x:v>
      </x:c>
      <x:c r="C20" s="10" t="str">
        <x:v>功能测试</x:v>
      </x:c>
      <x:c r="D20" s="9" t="str">
        <x:v>按关键词、研究方向和概念标签组合检索</x:v>
      </x:c>
      <x:c r="E20" s="10" t="str">
        <x:v>高</x:v>
      </x:c>
      <x:c r="F20" s="9" t="str">
        <x:v>知识库已有多主题和多标签论文</x:v>
      </x:c>
      <x:c r="G20" s="9" t="str">
        <x:v>1.分别按关键词、研究方向、概念标签检索；
2.组合两个以上条件；
3.清除筛选。</x:v>
      </x:c>
      <x:c r="H20" s="9" t="str">
        <x:v>单条件结果正确；组合条件按界面约定的逻辑过滤；清除后恢复完整结果。</x:v>
      </x:c>
      <x:c r="I20" s="10"/>
      <x:c r="J20" s="10"/>
      <x:c r="K20" s="10"/>
      <x:c r="L20" s="10"/>
      <x:c r="M20" s="11" t="str">
        <x:v>需求追踪：FR-3.1</x:v>
      </x:c>
    </x:row>
    <x:row r="21" ht="86" customHeight="1">
      <x:c r="A21" s="10" t="str">
        <x:v>TC-017</x:v>
      </x:c>
      <x:c r="B21" s="9" t="str">
        <x:v>结果排序分页</x:v>
      </x:c>
      <x:c r="C21" s="10" t="str">
        <x:v>功能测试</x:v>
      </x:c>
      <x:c r="D21" s="9" t="str">
        <x:v>检索结果按时间和相关度排序并分页</x:v>
      </x:c>
      <x:c r="E21" s="10" t="str">
        <x:v>中</x:v>
      </x:c>
      <x:c r="F21" s="9" t="str">
        <x:v>检索结果超过一页</x:v>
      </x:c>
      <x:c r="G21" s="9" t="str">
        <x:v>1.切换相关度/发布时间排序；
2.翻页；
3.返回上一页。</x:v>
      </x:c>
      <x:c r="H21" s="9" t="str">
        <x:v>排序顺序正确且稳定；翻页无重复、无遗漏；筛选条件与页码状态符合设计。</x:v>
      </x:c>
      <x:c r="I21" s="10"/>
      <x:c r="J21" s="10"/>
      <x:c r="K21" s="10"/>
      <x:c r="L21" s="10"/>
      <x:c r="M21" s="11" t="str">
        <x:v>需求追踪：FR-3.1</x:v>
      </x:c>
    </x:row>
    <x:row r="22" ht="86" customHeight="1">
      <x:c r="A22" s="10" t="str">
        <x:v>TC-018</x:v>
      </x:c>
      <x:c r="B22" s="9" t="str">
        <x:v>论文详情查看</x:v>
      </x:c>
      <x:c r="C22" s="10" t="str">
        <x:v>功能测试</x:v>
      </x:c>
      <x:c r="D22" s="9" t="str">
        <x:v>查看论文详情及结构化知识内容</x:v>
      </x:c>
      <x:c r="E22" s="10" t="str">
        <x:v>高</x:v>
      </x:c>
      <x:c r="F22" s="9" t="str">
        <x:v>目标论文已完成解析</x:v>
      </x:c>
      <x:c r="G22" s="9" t="str">
        <x:v>1.从结果列表打开详情；
2.查看元数据、摘要、概念和方法；
3.打开原文链接。</x:v>
      </x:c>
      <x:c r="H22" s="9" t="str">
        <x:v>详情内容完整；结构化文档可切换；原文链接正确；不存在字段有明确空态。</x:v>
      </x:c>
      <x:c r="I22" s="10"/>
      <x:c r="J22" s="10"/>
      <x:c r="K22" s="10"/>
      <x:c r="L22" s="10"/>
      <x:c r="M22" s="11" t="str">
        <x:v>需求追踪：FR-1.2/3.1</x:v>
      </x:c>
    </x:row>
    <x:row r="23" ht="86" customHeight="1">
      <x:c r="A23" s="10" t="str">
        <x:v>TC-019</x:v>
      </x:c>
      <x:c r="B23" s="9" t="str">
        <x:v>引用关系查看</x:v>
      </x:c>
      <x:c r="C23" s="10" t="str">
        <x:v>功能测试</x:v>
      </x:c>
      <x:c r="D23" s="9" t="str">
        <x:v>查看论文之间的引用关系</x:v>
      </x:c>
      <x:c r="E23" s="10" t="str">
        <x:v>高</x:v>
      </x:c>
      <x:c r="F23" s="9" t="str">
        <x:v>知识库中存在已知引用链</x:v>
      </x:c>
      <x:c r="G23" s="9" t="str">
        <x:v>1.打开目标论文关系视图；
2.查看引用与被引论文；
3.点击节点跳转。</x:v>
      </x:c>
      <x:c r="H23" s="9" t="str">
        <x:v>引用方向正确；关系节点不重复；点击可进入对应论文详情；缺失论文有合理占位。</x:v>
      </x:c>
      <x:c r="I23" s="10"/>
      <x:c r="J23" s="10"/>
      <x:c r="K23" s="10"/>
      <x:c r="L23" s="10"/>
      <x:c r="M23" s="11" t="str">
        <x:v>需求追踪：FR-3.2</x:v>
      </x:c>
    </x:row>
    <x:row r="24" ht="86" customHeight="1">
      <x:c r="A24" s="10" t="str">
        <x:v>TC-020</x:v>
      </x:c>
      <x:c r="B24" s="9" t="str">
        <x:v>主题与概念关系查看</x:v>
      </x:c>
      <x:c r="C24" s="10" t="str">
        <x:v>功能测试</x:v>
      </x:c>
      <x:c r="D24" s="9" t="str">
        <x:v>查看论文的主题关联和概念关联</x:v>
      </x:c>
      <x:c r="E24" s="10" t="str">
        <x:v>高</x:v>
      </x:c>
      <x:c r="F24" s="9" t="str">
        <x:v>多篇论文已有主题和概念关系</x:v>
      </x:c>
      <x:c r="G24" s="9" t="str">
        <x:v>1.切换主题关联视图；
2.切换概念关联视图；
3.按关系类型筛选。</x:v>
      </x:c>
      <x:c r="H24" s="9" t="str">
        <x:v>两类关系均正确显示；节点和边可识别；筛选结果与后台关系数据一致。</x:v>
      </x:c>
      <x:c r="I24" s="10"/>
      <x:c r="J24" s="10"/>
      <x:c r="K24" s="10"/>
      <x:c r="L24" s="10"/>
      <x:c r="M24" s="11" t="str">
        <x:v>需求追踪：FR-3.2</x:v>
      </x:c>
    </x:row>
    <x:row r="25" ht="86" customHeight="1">
      <x:c r="A25" s="10" t="str">
        <x:v>TC-021</x:v>
      </x:c>
      <x:c r="B25" s="9" t="str">
        <x:v>论文内容问答</x:v>
      </x:c>
      <x:c r="C25" s="10" t="str">
        <x:v>功能测试</x:v>
      </x:c>
      <x:c r="D25" s="9" t="str">
        <x:v>围绕论文内容提问并返回有出处的答案</x:v>
      </x:c>
      <x:c r="E25" s="10" t="str">
        <x:v>高</x:v>
      </x:c>
      <x:c r="F25" s="9" t="str">
        <x:v>目标论文已入库并建立索引</x:v>
      </x:c>
      <x:c r="G25" s="9" t="str">
        <x:v>1.选择目标论文；
2.询问其主要贡献；
3.查看答案引用。</x:v>
      </x:c>
      <x:c r="H25" s="9" t="str">
        <x:v>答案基于论文内容；至少给出论文标题及页码/章节/段落定位；引用可打开。</x:v>
      </x:c>
      <x:c r="I25" s="10"/>
      <x:c r="J25" s="10"/>
      <x:c r="K25" s="10"/>
      <x:c r="L25" s="10"/>
      <x:c r="M25" s="11" t="str">
        <x:v>需求追踪：FR-4.1/4.2</x:v>
      </x:c>
    </x:row>
    <x:row r="26" ht="86" customHeight="1">
      <x:c r="A26" s="10" t="str">
        <x:v>TC-022</x:v>
      </x:c>
      <x:c r="B26" s="9" t="str">
        <x:v>概念解释问答</x:v>
      </x:c>
      <x:c r="C26" s="10" t="str">
        <x:v>功能测试</x:v>
      </x:c>
      <x:c r="D26" s="9" t="str">
        <x:v>询问核心概念并结合论文语境解释</x:v>
      </x:c>
      <x:c r="E26" s="10" t="str">
        <x:v>高</x:v>
      </x:c>
      <x:c r="F26" s="9" t="str">
        <x:v>知识库包含目标概念及关联论文</x:v>
      </x:c>
      <x:c r="G26" s="9" t="str">
        <x:v>1.询问“论文中的目标概念是什么”；
2.继续追问与相关概念的区别；
3.查看出处。</x:v>
      </x:c>
      <x:c r="H26" s="9" t="str">
        <x:v>回答说明概念及语境；追问保持上下文；每个关键结论有可核验出处。</x:v>
      </x:c>
      <x:c r="I26" s="10"/>
      <x:c r="J26" s="10"/>
      <x:c r="K26" s="10"/>
      <x:c r="L26" s="10"/>
      <x:c r="M26" s="11" t="str">
        <x:v>需求追踪：FR-4.1/4.2</x:v>
      </x:c>
    </x:row>
    <x:row r="27" ht="86" customHeight="1">
      <x:c r="A27" s="10" t="str">
        <x:v>TC-023</x:v>
      </x:c>
      <x:c r="B27" s="9" t="str">
        <x:v>方法与研究脉络问答</x:v>
      </x:c>
      <x:c r="C27" s="10" t="str">
        <x:v>功能测试</x:v>
      </x:c>
      <x:c r="D27" s="9" t="str">
        <x:v>比较研究方法并回答研究脉络问题</x:v>
      </x:c>
      <x:c r="E27" s="10" t="str">
        <x:v>高</x:v>
      </x:c>
      <x:c r="F27" s="9" t="str">
        <x:v>知识库有同主题多篇论文</x:v>
      </x:c>
      <x:c r="G27" s="9" t="str">
        <x:v>1.询问两篇论文方法差异；
2.询问该主题方法演进；
3.检查引用清单。</x:v>
      </x:c>
      <x:c r="H27" s="9" t="str">
        <x:v>答案包含可核对的比较维度和时间脉络；不混淆论文；引用覆盖关键判断。</x:v>
      </x:c>
      <x:c r="I27" s="10"/>
      <x:c r="J27" s="10"/>
      <x:c r="K27" s="10"/>
      <x:c r="L27" s="10"/>
      <x:c r="M27" s="11" t="str">
        <x:v>需求追踪：FR-4.1/AR-1</x:v>
      </x:c>
    </x:row>
    <x:row r="28" ht="86" customHeight="1">
      <x:c r="A28" s="10" t="str">
        <x:v>TC-024</x:v>
      </x:c>
      <x:c r="B28" s="9" t="str">
        <x:v>内容定位</x:v>
      </x:c>
      <x:c r="C28" s="10" t="str">
        <x:v>功能测试</x:v>
      </x:c>
      <x:c r="D28" s="9" t="str">
        <x:v>从问答引用跳转到对应原文位置</x:v>
      </x:c>
      <x:c r="E28" s="10" t="str">
        <x:v>高</x:v>
      </x:c>
      <x:c r="F28" s="9" t="str">
        <x:v>问答已返回至少一条引用</x:v>
      </x:c>
      <x:c r="G28" s="9" t="str">
        <x:v>1.点击引用；
2.核对打开的论文及页码/段落；
3.返回问答页面。</x:v>
      </x:c>
      <x:c r="H28" s="9" t="str">
        <x:v>定位到支持该答案的原文内容；高亮或上下文足以核验；返回后会话保留。</x:v>
      </x:c>
      <x:c r="I28" s="10"/>
      <x:c r="J28" s="10"/>
      <x:c r="K28" s="10"/>
      <x:c r="L28" s="10"/>
      <x:c r="M28" s="11" t="str">
        <x:v>需求追踪：FR-4.2</x:v>
      </x:c>
    </x:row>
    <x:row r="29" ht="86" customHeight="1">
      <x:c r="A29" s="10" t="str">
        <x:v>TC-025</x:v>
      </x:c>
      <x:c r="B29" s="9" t="str">
        <x:v>无依据问题处理</x:v>
      </x:c>
      <x:c r="C29" s="10" t="str">
        <x:v>功能测试</x:v>
      </x:c>
      <x:c r="D29" s="9" t="str">
        <x:v>知识库无充分证据时拒绝臆造</x:v>
      </x:c>
      <x:c r="E29" s="10" t="str">
        <x:v>高</x:v>
      </x:c>
      <x:c r="F29" s="9" t="str">
        <x:v>知识库不包含问题所需事实</x:v>
      </x:c>
      <x:c r="G29" s="9" t="str">
        <x:v>1.提出知识库外的具体事实问题；
2.要求给出出处；
3.观察回答。</x:v>
      </x:c>
      <x:c r="H29" s="9" t="str">
        <x:v>明确说明证据不足或未收录；不生成虚假论文或定位；可建议相关检索。</x:v>
      </x:c>
      <x:c r="I29" s="10"/>
      <x:c r="J29" s="10"/>
      <x:c r="K29" s="10"/>
      <x:c r="L29" s="10"/>
      <x:c r="M29" s="11" t="str">
        <x:v>需求追踪：FR-4.2</x:v>
      </x:c>
    </x:row>
    <x:row r="30" ht="86" customHeight="1">
      <x:c r="A30" s="10" t="str">
        <x:v>TC-026</x:v>
      </x:c>
      <x:c r="B30" s="9" t="str">
        <x:v>论文收藏</x:v>
      </x:c>
      <x:c r="C30" s="10" t="str">
        <x:v>功能测试</x:v>
      </x:c>
      <x:c r="D30" s="9" t="str">
        <x:v>收藏和取消收藏论文</x:v>
      </x:c>
      <x:c r="E30" s="10" t="str">
        <x:v>高</x:v>
      </x:c>
      <x:c r="F30" s="9" t="str">
        <x:v>用户已登录；目标论文存在</x:v>
      </x:c>
      <x:c r="G30" s="9" t="str">
        <x:v>1.在列表收藏论文；
2.进入收藏列表核对；
3.取消收藏。</x:v>
      </x:c>
      <x:c r="H30" s="9" t="str">
        <x:v>收藏状态跨页面一致且持久化；收藏列表出现目标论文；取消后移除且不删除论文。</x:v>
      </x:c>
      <x:c r="I30" s="10"/>
      <x:c r="J30" s="10"/>
      <x:c r="K30" s="10"/>
      <x:c r="L30" s="10"/>
      <x:c r="M30" s="11" t="str">
        <x:v>需求追踪：FR-5.1</x:v>
      </x:c>
    </x:row>
    <x:row r="31" ht="86" customHeight="1">
      <x:c r="A31" s="10" t="str">
        <x:v>TC-027</x:v>
      </x:c>
      <x:c r="B31" s="9" t="str">
        <x:v>论文笔记</x:v>
      </x:c>
      <x:c r="C31" s="10" t="str">
        <x:v>功能测试</x:v>
      </x:c>
      <x:c r="D31" s="9" t="str">
        <x:v>新增、编辑和删除论文笔记</x:v>
      </x:c>
      <x:c r="E31" s="10" t="str">
        <x:v>高</x:v>
      </x:c>
      <x:c r="F31" s="9" t="str">
        <x:v>用户已登录；目标论文存在</x:v>
      </x:c>
      <x:c r="G31" s="9" t="str">
        <x:v>1.新增含多行文本的笔记；
2.编辑并保存；
3.删除笔记。</x:v>
      </x:c>
      <x:c r="H31" s="9" t="str">
        <x:v>各操作成功且内容正确；刷新后仍保留；删除前有确认；笔记仅对授权用户可见。</x:v>
      </x:c>
      <x:c r="I31" s="10"/>
      <x:c r="J31" s="10"/>
      <x:c r="K31" s="10"/>
      <x:c r="L31" s="10"/>
      <x:c r="M31" s="11" t="str">
        <x:v>需求追踪：FR-5.1</x:v>
      </x:c>
    </x:row>
    <x:row r="32" ht="86" customHeight="1">
      <x:c r="A32" s="10" t="str">
        <x:v>TC-028</x:v>
      </x:c>
      <x:c r="B32" s="9" t="str">
        <x:v>论文评论</x:v>
      </x:c>
      <x:c r="C32" s="10" t="str">
        <x:v>功能测试</x:v>
      </x:c>
      <x:c r="D32" s="9" t="str">
        <x:v>发表评论并查看评论列表</x:v>
      </x:c>
      <x:c r="E32" s="10" t="str">
        <x:v>中</x:v>
      </x:c>
      <x:c r="F32" s="9" t="str">
        <x:v>用户已登录；目标论文存在</x:v>
      </x:c>
      <x:c r="G32" s="9" t="str">
        <x:v>1.发表正常评论；
2.刷新详情页；
3.提交空评论和超长评论。</x:v>
      </x:c>
      <x:c r="H32" s="9" t="str">
        <x:v>正常评论显示作者和时间；刷新后保留；非法长度被校验且有提示。</x:v>
      </x:c>
      <x:c r="I32" s="10"/>
      <x:c r="J32" s="10"/>
      <x:c r="K32" s="10"/>
      <x:c r="L32" s="10"/>
      <x:c r="M32" s="11" t="str">
        <x:v>需求追踪：FR-5.1</x:v>
      </x:c>
    </x:row>
    <x:row r="33" ht="86" customHeight="1">
      <x:c r="A33" s="10" t="str">
        <x:v>TC-029</x:v>
      </x:c>
      <x:c r="B33" s="9" t="str">
        <x:v>对比阅读</x:v>
      </x:c>
      <x:c r="C33" s="10" t="str">
        <x:v>功能测试</x:v>
      </x:c>
      <x:c r="D33" s="9" t="str">
        <x:v>选择多篇论文进行对比阅读</x:v>
      </x:c>
      <x:c r="E33" s="10" t="str">
        <x:v>高</x:v>
      </x:c>
      <x:c r="F33" s="9" t="str">
        <x:v>至少三篇论文已完成解析</x:v>
      </x:c>
      <x:c r="G33" s="9" t="str">
        <x:v>1.从列表选择2至3篇论文；
2.进入对比阅读；
3.切换摘要、概念、方法维度。</x:v>
      </x:c>
      <x:c r="H33" s="9" t="str">
        <x:v>并排显示所选论文；维度切换同步；差异清晰；移除论文后布局正常。</x:v>
      </x:c>
      <x:c r="I33" s="10"/>
      <x:c r="J33" s="10"/>
      <x:c r="K33" s="10"/>
      <x:c r="L33" s="10"/>
      <x:c r="M33" s="11" t="str">
        <x:v>需求追踪：FR-5.1</x:v>
      </x:c>
    </x:row>
    <x:row r="34" ht="86" customHeight="1">
      <x:c r="A34" s="10" t="str">
        <x:v>TC-030</x:v>
      </x:c>
      <x:c r="B34" s="9" t="str">
        <x:v>阅读历史</x:v>
      </x:c>
      <x:c r="C34" s="10" t="str">
        <x:v>功能测试</x:v>
      </x:c>
      <x:c r="D34" s="9" t="str">
        <x:v>自动记录并管理阅读历史</x:v>
      </x:c>
      <x:c r="E34" s="10" t="str">
        <x:v>中</x:v>
      </x:c>
      <x:c r="F34" s="9" t="str">
        <x:v>用户已登录</x:v>
      </x:c>
      <x:c r="G34" s="9" t="str">
        <x:v>1.依次打开多篇论文；
2.进入阅读历史；
3.重复打开一篇论文。</x:v>
      </x:c>
      <x:c r="H34" s="9" t="str">
        <x:v>记录论文与最近阅读时间；按最近时间排序；重复阅读更新记录而非无限重复。</x:v>
      </x:c>
      <x:c r="I34" s="10"/>
      <x:c r="J34" s="10"/>
      <x:c r="K34" s="10"/>
      <x:c r="L34" s="10"/>
      <x:c r="M34" s="11" t="str">
        <x:v>需求追踪：FR-5.2</x:v>
      </x:c>
    </x:row>
    <x:row r="35" ht="86" customHeight="1">
      <x:c r="A35" s="10" t="str">
        <x:v>TC-031</x:v>
      </x:c>
      <x:c r="B35" s="9" t="str">
        <x:v>关注主题</x:v>
      </x:c>
      <x:c r="C35" s="10" t="str">
        <x:v>功能测试</x:v>
      </x:c>
      <x:c r="D35" s="9" t="str">
        <x:v>新增和取消关注研究主题</x:v>
      </x:c>
      <x:c r="E35" s="10" t="str">
        <x:v>中</x:v>
      </x:c>
      <x:c r="F35" s="9" t="str">
        <x:v>用户已登录；系统有主题数据</x:v>
      </x:c>
      <x:c r="G35" s="9" t="str">
        <x:v>1.关注一个主题；
2.查看个人关注主题；
3.取消关注。</x:v>
      </x:c>
      <x:c r="H35" s="9" t="str">
        <x:v>关注状态持久化；个人页显示该主题；取消后移除；不影响历史阅读数据。</x:v>
      </x:c>
      <x:c r="I35" s="10"/>
      <x:c r="J35" s="10"/>
      <x:c r="K35" s="10"/>
      <x:c r="L35" s="10"/>
      <x:c r="M35" s="11" t="str">
        <x:v>需求追踪：FR-5.2</x:v>
      </x:c>
    </x:row>
    <x:row r="36" ht="86" customHeight="1">
      <x:c r="A36" s="10" t="str">
        <x:v>TC-032</x:v>
      </x:c>
      <x:c r="B36" s="9" t="str">
        <x:v>研究脉络图</x:v>
      </x:c>
      <x:c r="C36" s="10" t="str">
        <x:v>功能测试</x:v>
      </x:c>
      <x:c r="D36" s="9" t="str">
        <x:v>自动生成研究主题发展脉络图</x:v>
      </x:c>
      <x:c r="E36" s="10" t="str">
        <x:v>高</x:v>
      </x:c>
      <x:c r="F36" s="9" t="str">
        <x:v>同一主题下有跨年份论文和引用关系</x:v>
      </x:c>
      <x:c r="G36" s="9" t="str">
        <x:v>1.选择研究主题；
2.生成发展脉络；
3.检查时间轴、节点和关系。</x:v>
      </x:c>
      <x:c r="H36" s="9" t="str">
        <x:v>脉络按时间组织；关键论文和演进关系可追溯；节点可跳转论文详情。</x:v>
      </x:c>
      <x:c r="I36" s="10"/>
      <x:c r="J36" s="10"/>
      <x:c r="K36" s="10"/>
      <x:c r="L36" s="10"/>
      <x:c r="M36" s="11" t="str">
        <x:v>需求追踪：AR-1</x:v>
      </x:c>
    </x:row>
    <x:row r="37" ht="86" customHeight="1">
      <x:c r="A37" s="10" t="str">
        <x:v>TC-033</x:v>
      </x:c>
      <x:c r="B37" s="9" t="str">
        <x:v>代表论文与趋势</x:v>
      </x:c>
      <x:c r="C37" s="10" t="str">
        <x:v>功能测试</x:v>
      </x:c>
      <x:c r="D37" s="9" t="str">
        <x:v>生成代表性论文列表和研究趋势分析</x:v>
      </x:c>
      <x:c r="E37" s="10" t="str">
        <x:v>高</x:v>
      </x:c>
      <x:c r="F37" s="9" t="str">
        <x:v>主题下数据量足以分析</x:v>
      </x:c>
      <x:c r="G37" s="9" t="str">
        <x:v>1.生成主题分析；
2.查看代表论文排序依据；
3.核对趋势区间和证据。</x:v>
      </x:c>
      <x:c r="H37" s="9" t="str">
        <x:v>输出代表论文列表、选择依据、趋势结论和数据范围；结论能追溯到论文或统计结果。</x:v>
      </x:c>
      <x:c r="I37" s="10"/>
      <x:c r="J37" s="10"/>
      <x:c r="K37" s="10"/>
      <x:c r="L37" s="10"/>
      <x:c r="M37" s="11" t="str">
        <x:v>需求追踪：AR-1</x:v>
      </x:c>
    </x:row>
    <x:row r="38" ht="86" customHeight="1">
      <x:c r="A38" s="10" t="str">
        <x:v>TC-034</x:v>
      </x:c>
      <x:c r="B38" s="9" t="str">
        <x:v>主题订阅</x:v>
      </x:c>
      <x:c r="C38" s="10" t="str">
        <x:v>功能测试</x:v>
      </x:c>
      <x:c r="D38" s="9" t="str">
        <x:v>创建、修改和取消研究主题订阅</x:v>
      </x:c>
      <x:c r="E38" s="10" t="str">
        <x:v>高</x:v>
      </x:c>
      <x:c r="F38" s="9" t="str">
        <x:v>用户已登录；通知渠道可用</x:v>
      </x:c>
      <x:c r="G38" s="9" t="str">
        <x:v>1.订阅主题并选择每日频率；
2.修改关键词；
3.取消订阅。</x:v>
      </x:c>
      <x:c r="H38" s="9" t="str">
        <x:v>订阅规则正确保存；修改后立即生效；取消后不再生成推送任务。</x:v>
      </x:c>
      <x:c r="I38" s="10"/>
      <x:c r="J38" s="10"/>
      <x:c r="K38" s="10"/>
      <x:c r="L38" s="10"/>
      <x:c r="M38" s="11" t="str">
        <x:v>需求追踪：AR-2</x:v>
      </x:c>
    </x:row>
    <x:row r="39" ht="86" customHeight="1">
      <x:c r="A39" s="10" t="str">
        <x:v>TC-035</x:v>
      </x:c>
      <x:c r="B39" s="9" t="str">
        <x:v>每日新增论文推送</x:v>
      </x:c>
      <x:c r="C39" s="10" t="str">
        <x:v>功能测试</x:v>
      </x:c>
      <x:c r="D39" s="9" t="str">
        <x:v>每日推送订阅主题的新增论文摘要</x:v>
      </x:c>
      <x:c r="E39" s="10" t="str">
        <x:v>高</x:v>
      </x:c>
      <x:c r="F39" s="9" t="str">
        <x:v>存在有效订阅；当天有新增论文</x:v>
      </x:c>
      <x:c r="G39" s="9" t="str">
        <x:v>1.触发每日推送任务；
2.查看推送内容；
3.再次执行同日任务。</x:v>
      </x:c>
      <x:c r="H39" s="9" t="str">
        <x:v>仅推送新增且匹配的论文；每篇包含标题、摘要和链接；同日重复任务不重复推送。</x:v>
      </x:c>
      <x:c r="I39" s="10"/>
      <x:c r="J39" s="10"/>
      <x:c r="K39" s="10"/>
      <x:c r="L39" s="10"/>
      <x:c r="M39" s="11" t="str">
        <x:v>需求追踪：AR-2</x:v>
      </x:c>
    </x:row>
    <x:row r="40" ht="86" customHeight="1">
      <x:c r="A40" s="10" t="str">
        <x:v>TC-036</x:v>
      </x:c>
      <x:c r="B40" s="9" t="str">
        <x:v>个性化推荐</x:v>
      </x:c>
      <x:c r="C40" s="10" t="str">
        <x:v>功能测试</x:v>
      </x:c>
      <x:c r="D40" s="9" t="str">
        <x:v>根据阅读历史推荐相关论文</x:v>
      </x:c>
      <x:c r="E40" s="10" t="str">
        <x:v>高</x:v>
      </x:c>
      <x:c r="F40" s="9" t="str">
        <x:v>用户有足够阅读历史；库中有候选论文</x:v>
      </x:c>
      <x:c r="G40" s="9" t="str">
        <x:v>1.阅读同主题多篇论文；
2.打开推荐页；
3.改变阅读主题后重新生成。</x:v>
      </x:c>
      <x:c r="H40" s="9" t="str">
        <x:v>推荐与近期兴趣相关；已读/重复项按规则处理；兴趣改变后结果有合理变化；可查看推荐理由。</x:v>
      </x:c>
      <x:c r="I40" s="10"/>
      <x:c r="J40" s="10"/>
      <x:c r="K40" s="10"/>
      <x:c r="L40" s="10"/>
      <x:c r="M40" s="11" t="str">
        <x:v>需求追踪：AR-2</x:v>
      </x:c>
    </x:row>
    <x:row r="41" ht="86" customHeight="1">
      <x:c r="A41" s="10" t="str">
        <x:v>TC-037</x:v>
      </x:c>
      <x:c r="B41" s="9" t="str">
        <x:v>解析准确率</x:v>
      </x:c>
      <x:c r="C41" s="10" t="str">
        <x:v>准确性测试</x:v>
      </x:c>
      <x:c r="D41" s="9" t="str">
        <x:v>结构化解析与知识抽取准确率不低于90%</x:v>
      </x:c>
      <x:c r="E41" s="10" t="str">
        <x:v>高</x:v>
      </x:c>
      <x:c r="F41" s="9" t="str">
        <x:v>准备不少于100篇含人工金标准的代表性论文</x:v>
      </x:c>
      <x:c r="G41" s="9" t="str">
        <x:v>1.批量执行解析与抽取；
2.按统一评分规则比较标题层级、概念、问题、方法和结论；
3.统计正确项/总评测项。</x:v>
      </x:c>
      <x:c r="H41" s="9" t="str">
        <x:v>总体准确率≥90%；各维度结果可复核；失败样本和评分明细可导出。</x:v>
      </x:c>
      <x:c r="I41" s="10"/>
      <x:c r="J41" s="10"/>
      <x:c r="K41" s="10"/>
      <x:c r="L41" s="10"/>
      <x:c r="M41" s="11" t="str">
        <x:v>需求追踪：NFR-3</x:v>
      </x:c>
    </x:row>
    <x:row r="42" ht="86" customHeight="1">
      <x:c r="A42" s="10" t="str">
        <x:v>TC-038</x:v>
      </x:c>
      <x:c r="B42" s="9" t="str">
        <x:v>检索准确率</x:v>
      </x:c>
      <x:c r="C42" s="10" t="str">
        <x:v>准确性测试</x:v>
      </x:c>
      <x:c r="D42" s="9" t="str">
        <x:v>多维检索准确率不低于90%</x:v>
      </x:c>
      <x:c r="E42" s="10" t="str">
        <x:v>高</x:v>
      </x:c>
      <x:c r="F42" s="9" t="str">
        <x:v>准备标注相关论文集合和不少于100条查询</x:v>
      </x:c>
      <x:c r="G42" s="9" t="str">
        <x:v>1.依次执行标题、作者、关键词、方向和标签查询；
2.记录Top-K结果；
3.按验收口径统计准确率。</x:v>
      </x:c>
      <x:c r="H42" s="9" t="str">
        <x:v>检索准确率≥90%；查询、命中结果和计算过程留痕；无明显跨用户数据混入。</x:v>
      </x:c>
      <x:c r="I42" s="10"/>
      <x:c r="J42" s="10"/>
      <x:c r="K42" s="10"/>
      <x:c r="L42" s="10"/>
      <x:c r="M42" s="11" t="str">
        <x:v>需求追踪：NFR-3</x:v>
      </x:c>
    </x:row>
    <x:row r="43" ht="86" customHeight="1">
      <x:c r="A43" s="10" t="str">
        <x:v>TC-039</x:v>
      </x:c>
      <x:c r="B43" s="9" t="str">
        <x:v>问答准确率</x:v>
      </x:c>
      <x:c r="C43" s="10" t="str">
        <x:v>准确性测试</x:v>
      </x:c>
      <x:c r="D43" s="9" t="str">
        <x:v>论文问答准确率不低于90%</x:v>
      </x:c>
      <x:c r="E43" s="10" t="str">
        <x:v>高</x:v>
      </x:c>
      <x:c r="F43" s="9" t="str">
        <x:v>准备覆盖内容、概念、方法和脉络的人工标注问答集</x:v>
      </x:c>
      <x:c r="G43" s="9" t="str">
        <x:v>1.批量提问；
2.按答案正确性与引用支持性评分；
3.统计通过题数/总题数。</x:v>
      </x:c>
      <x:c r="H43" s="9" t="str">
        <x:v>准确率≥90%；关键结论由正确出处支持；拒答样本按既定评分规则处理。</x:v>
      </x:c>
      <x:c r="I43" s="10"/>
      <x:c r="J43" s="10"/>
      <x:c r="K43" s="10"/>
      <x:c r="L43" s="10"/>
      <x:c r="M43" s="11" t="str">
        <x:v>需求追踪：NFR-3</x:v>
      </x:c>
    </x:row>
    <x:row r="44" ht="86" customHeight="1">
      <x:c r="A44" s="10" t="str">
        <x:v>TC-040</x:v>
      </x:c>
      <x:c r="B44" s="9" t="str">
        <x:v>检索并发性能</x:v>
      </x:c>
      <x:c r="C44" s="10" t="str">
        <x:v>性能测试</x:v>
      </x:c>
      <x:c r="D44" s="9" t="str">
        <x:v>100条以上数据和100并发下检索响应小于3秒</x:v>
      </x:c>
      <x:c r="E44" s="10" t="str">
        <x:v>高</x:v>
      </x:c>
      <x:c r="F44" s="9" t="str">
        <x:v>库中不少于100条论文元数据；性能环境稳定</x:v>
      </x:c>
      <x:c r="G44" s="9" t="str">
        <x:v>1.准备混合检索脚本；
2.以100并发持续压测；
3.统计服务端响应时间、错误率和资源。</x:v>
      </x:c>
      <x:c r="H44" s="9" t="str">
        <x:v>检索响应时间按验收统计口径&lt;3s；无错误或数据错乱；资源使用无持续异常增长。</x:v>
      </x:c>
      <x:c r="I44" s="10"/>
      <x:c r="J44" s="10"/>
      <x:c r="K44" s="10"/>
      <x:c r="L44" s="10"/>
      <x:c r="M44" s="11" t="str">
        <x:v>需求追踪：NFR-4</x:v>
      </x:c>
    </x:row>
    <x:row r="45" ht="86" customHeight="1">
      <x:c r="A45" s="10" t="str">
        <x:v>TC-041</x:v>
      </x:c>
      <x:c r="B45" s="9" t="str">
        <x:v>问答链路并发性能</x:v>
      </x:c>
      <x:c r="C45" s="10" t="str">
        <x:v>性能测试</x:v>
      </x:c>
      <x:c r="D45" s="9" t="str">
        <x:v>100并发下问答非LLM链路响应小于3秒</x:v>
      </x:c>
      <x:c r="E45" s="10" t="str">
        <x:v>高</x:v>
      </x:c>
      <x:c r="F45" s="9" t="str">
        <x:v>知识索引已建立；可单独计量LLM外耗时</x:v>
      </x:c>
      <x:c r="G45" s="9" t="str">
        <x:v>1.100并发提交混合问题；
2.扣除或隔离LLM推理耗时；
3.统计检索、组装、引用定位耗时。</x:v>
      </x:c>
      <x:c r="H45" s="9" t="str">
        <x:v>非LLM部分响应时间&lt;3s；请求隔离正确；无引用串线或会话串扰。</x:v>
      </x:c>
      <x:c r="I45" s="10"/>
      <x:c r="J45" s="10"/>
      <x:c r="K45" s="10"/>
      <x:c r="L45" s="10"/>
      <x:c r="M45" s="11" t="str">
        <x:v>需求追踪：NFR-4</x:v>
      </x:c>
    </x:row>
    <x:row r="46" ht="86" customHeight="1">
      <x:c r="A46" s="10" t="str">
        <x:v>TC-042</x:v>
      </x:c>
      <x:c r="B46" s="9" t="str">
        <x:v>学习管理并发性能</x:v>
      </x:c>
      <x:c r="C46" s="10" t="str">
        <x:v>性能测试</x:v>
      </x:c>
      <x:c r="D46" s="9" t="str">
        <x:v>100并发下学习管理操作响应小于3秒</x:v>
      </x:c>
      <x:c r="E46" s="10" t="str">
        <x:v>高</x:v>
      </x:c>
      <x:c r="F46" s="9" t="str">
        <x:v>准备100个测试用户和不少于100篇论文</x:v>
      </x:c>
      <x:c r="G46" s="9" t="str">
        <x:v>1.并发执行收藏、笔记、评论、历史查询；
2.持续压测；
3.核对响应和最终数据。</x:v>
      </x:c>
      <x:c r="H46" s="9" t="str">
        <x:v>各操作响应时间&lt;3s；成功率符合验收标准；最终数据完整且无重复、丢失。</x:v>
      </x:c>
      <x:c r="I46" s="10"/>
      <x:c r="J46" s="10"/>
      <x:c r="K46" s="10"/>
      <x:c r="L46" s="10"/>
      <x:c r="M46" s="11" t="str">
        <x:v>需求追踪：NFR-4</x:v>
      </x:c>
    </x:row>
    <x:row r="47" ht="86" customHeight="1">
      <x:c r="A47" s="10" t="str">
        <x:v>TC-043</x:v>
      </x:c>
      <x:c r="B47" s="9" t="str">
        <x:v>抓取解析批处理性能</x:v>
      </x:c>
      <x:c r="C47" s="10" t="str">
        <x:v>性能测试</x:v>
      </x:c>
      <x:c r="D47" s="9" t="str">
        <x:v>批量抓取与解析不阻塞在线查询</x:v>
      </x:c>
      <x:c r="E47" s="10" t="str">
        <x:v>中</x:v>
      </x:c>
      <x:c r="F47" s="9" t="str">
        <x:v>准备批量论文任务和在线查询脚本</x:v>
      </x:c>
      <x:c r="G47" s="9" t="str">
        <x:v>1.启动批量抓取与解析；
2.同时执行检索和学习管理；
3.观察队列与在线响应。</x:v>
      </x:c>
      <x:c r="H47" s="9" t="str">
        <x:v>后台任务可排队和限流；在线功能保持可用；任务进度可查；无资源耗尽。</x:v>
      </x:c>
      <x:c r="I47" s="10"/>
      <x:c r="J47" s="10"/>
      <x:c r="K47" s="10"/>
      <x:c r="L47" s="10"/>
      <x:c r="M47" s="11" t="str">
        <x:v>需求追踪：FR-1/2,NFR-4</x:v>
      </x:c>
    </x:row>
    <x:row r="48" ht="86" customHeight="1">
      <x:c r="A48" s="10" t="str">
        <x:v>TC-044</x:v>
      </x:c>
      <x:c r="B48" s="9" t="str">
        <x:v>抓取任务幂等性</x:v>
      </x:c>
      <x:c r="C48" s="10" t="str">
        <x:v>可靠性测试</x:v>
      </x:c>
      <x:c r="D48" s="9" t="str">
        <x:v>调度任务重复触发时数据保持一致</x:v>
      </x:c>
      <x:c r="E48" s="10" t="str">
        <x:v>高</x:v>
      </x:c>
      <x:c r="F48" s="9" t="str">
        <x:v>同一抓取任务可被重复投递</x:v>
      </x:c>
      <x:c r="G48" s="9" t="str">
        <x:v>1.并发触发同一时间窗任务两次；
2.等待完成；
3.核对论文、解析任务和推送记录。</x:v>
      </x:c>
      <x:c r="H48" s="9" t="str">
        <x:v>不产生重复论文、重复解析或重复推送；任务状态最终一致；异常有日志。</x:v>
      </x:c>
      <x:c r="I48" s="10"/>
      <x:c r="J48" s="10"/>
      <x:c r="K48" s="10"/>
      <x:c r="L48" s="10"/>
      <x:c r="M48" s="11" t="str">
        <x:v>需求追踪：FR-1.1/AR-2</x:v>
      </x:c>
    </x:row>
    <x:row r="49" ht="86" customHeight="1">
      <x:c r="A49" s="10" t="str">
        <x:v>TC-045</x:v>
      </x:c>
      <x:c r="B49" s="9" t="str">
        <x:v>外部依赖故障恢复</x:v>
      </x:c>
      <x:c r="C49" s="10" t="str">
        <x:v>可靠性测试</x:v>
      </x:c>
      <x:c r="D49" s="9" t="str">
        <x:v>arXiv或解析服务暂时不可用时可恢复</x:v>
      </x:c>
      <x:c r="E49" s="10" t="str">
        <x:v>高</x:v>
      </x:c>
      <x:c r="F49" s="9" t="str">
        <x:v>可模拟超时、限流和服务中断</x:v>
      </x:c>
      <x:c r="G49" s="9" t="str">
        <x:v>1.抓取中注入超时/429/5xx；
2.恢复依赖；
3.观察重试与补偿。</x:v>
      </x:c>
      <x:c r="H49" s="9" t="str">
        <x:v>采用退避重试或进入可恢复队列；不丢失任务；恢复后完成处理；前台有可理解状态。</x:v>
      </x:c>
      <x:c r="I49" s="10"/>
      <x:c r="J49" s="10"/>
      <x:c r="K49" s="10"/>
      <x:c r="L49" s="10"/>
      <x:c r="M49" s="11" t="str">
        <x:v>需求追踪：FR-1/2</x:v>
      </x:c>
    </x:row>
    <x:row r="50" ht="86" customHeight="1">
      <x:c r="A50" s="10" t="str">
        <x:v>TC-046</x:v>
      </x:c>
      <x:c r="B50" s="9" t="str">
        <x:v>服务重启一致性</x:v>
      </x:c>
      <x:c r="C50" s="10" t="str">
        <x:v>可靠性测试</x:v>
      </x:c>
      <x:c r="D50" s="9" t="str">
        <x:v>服务重启后任务和用户数据保持一致</x:v>
      </x:c>
      <x:c r="E50" s="10" t="str">
        <x:v>高</x:v>
      </x:c>
      <x:c r="F50" s="9" t="str">
        <x:v>存在运行中解析任务及已保存笔记</x:v>
      </x:c>
      <x:c r="G50" s="9" t="str">
        <x:v>1.处理过程中重启服务；
2.重新登录；
3.检查任务、收藏、笔记和索引。</x:v>
      </x:c>
      <x:c r="H50" s="9" t="str">
        <x:v>已提交任务可恢复或明确失败可重试；用户数据不丢失；无脏数据和重复记录。</x:v>
      </x:c>
      <x:c r="I50" s="10"/>
      <x:c r="J50" s="10"/>
      <x:c r="K50" s="10"/>
      <x:c r="L50" s="10"/>
      <x:c r="M50" s="11" t="str">
        <x:v>需求追踪：FR-2/5</x:v>
      </x:c>
    </x:row>
    <x:row r="51" ht="86" customHeight="1">
      <x:c r="A51" s="10" t="str">
        <x:v>TC-047</x:v>
      </x:c>
      <x:c r="B51" s="9" t="str">
        <x:v>身份认证与数据隔离</x:v>
      </x:c>
      <x:c r="C51" s="10" t="str">
        <x:v>安全性测试</x:v>
      </x:c>
      <x:c r="D51" s="9" t="str">
        <x:v>未登录访问受限且不同用户数据隔离</x:v>
      </x:c>
      <x:c r="E51" s="10" t="str">
        <x:v>高</x:v>
      </x:c>
      <x:c r="F51" s="9" t="str">
        <x:v>准备两个普通用户</x:v>
      </x:c>
      <x:c r="G51" s="9" t="str">
        <x:v>1.未登录访问收藏/笔记接口；
2.用户A创建笔记；
3.用户B尝试读取或修改。</x:v>
      </x:c>
      <x:c r="H51" s="9" t="str">
        <x:v>未登录请求被拒绝；用户B无法访问或修改A的私有数据；服务端校验而非仅前端隐藏。</x:v>
      </x:c>
      <x:c r="I51" s="10"/>
      <x:c r="J51" s="10"/>
      <x:c r="K51" s="10"/>
      <x:c r="L51" s="10"/>
      <x:c r="M51" s="11" t="str">
        <x:v>需求追踪：FR-5</x:v>
      </x:c>
    </x:row>
    <x:row r="52" ht="86" customHeight="1">
      <x:c r="A52" s="10" t="str">
        <x:v>TC-048</x:v>
      </x:c>
      <x:c r="B52" s="9" t="str">
        <x:v>输入与查询安全</x:v>
      </x:c>
      <x:c r="C52" s="10" t="str">
        <x:v>安全性测试</x:v>
      </x:c>
      <x:c r="D52" s="9" t="str">
        <x:v>搜索、笔记、评论和问答输入抵御注入与XSS</x:v>
      </x:c>
      <x:c r="E52" s="10" t="str">
        <x:v>高</x:v>
      </x:c>
      <x:c r="F52" s="9" t="str">
        <x:v>系统部署在测试环境</x:v>
      </x:c>
      <x:c r="G52" s="9" t="str">
        <x:v>1.在各输入点提交SQL/脚本/提示注入样本；
2.查看页面和日志；
3.重复访问保存内容。</x:v>
      </x:c>
      <x:c r="H52" s="9" t="str">
        <x:v>无SQL注入、脚本执行或越权指令生效；内容安全转义；错误不泄露敏感堆栈。</x:v>
      </x:c>
      <x:c r="I52" s="10"/>
      <x:c r="J52" s="10"/>
      <x:c r="K52" s="10"/>
      <x:c r="L52" s="10"/>
      <x:c r="M52" s="11" t="str">
        <x:v>需求追踪：FR-3/4/5</x:v>
      </x:c>
    </x:row>
    <x:row r="53" ht="86" customHeight="1">
      <x:c r="A53" s="10" t="str">
        <x:v>TC-049</x:v>
      </x:c>
      <x:c r="B53" s="9" t="str">
        <x:v>外部内容安全</x:v>
      </x:c>
      <x:c r="C53" s="10" t="str">
        <x:v>安全性测试</x:v>
      </x:c>
      <x:c r="D53" s="9" t="str">
        <x:v>恶意PDF或HTML内容不影响系统安全</x:v>
      </x:c>
      <x:c r="E53" s="10" t="str">
        <x:v>高</x:v>
      </x:c>
      <x:c r="F53" s="9" t="str">
        <x:v>准备含异常脚本、超大对象或畸形结构的样本</x:v>
      </x:c>
      <x:c r="G53" s="9" t="str">
        <x:v>1.提交恶意样本解析；
2.监控解析进程；
3.访问生成内容。</x:v>
      </x:c>
      <x:c r="H53" s="9" t="str">
        <x:v>解析在受控环境完成；恶意内容不执行；资源限制有效；失败不影响其他任务。</x:v>
      </x:c>
      <x:c r="I53" s="10"/>
      <x:c r="J53" s="10"/>
      <x:c r="K53" s="10"/>
      <x:c r="L53" s="10"/>
      <x:c r="M53" s="11" t="str">
        <x:v>需求追踪：FR-2</x:v>
      </x:c>
    </x:row>
    <x:row r="54" ht="86" customHeight="1">
      <x:c r="A54" s="10" t="str">
        <x:v>TC-050</x:v>
      </x:c>
      <x:c r="B54" s="9" t="str">
        <x:v>主流浏览器兼容</x:v>
      </x:c>
      <x:c r="C54" s="10" t="str">
        <x:v>兼容性测试</x:v>
      </x:c>
      <x:c r="D54" s="9" t="str">
        <x:v>Web客户端在主流浏览器正常使用</x:v>
      </x:c>
      <x:c r="E54" s="10" t="str">
        <x:v>高</x:v>
      </x:c>
      <x:c r="F54" s="9" t="str">
        <x:v>部署可访问的Web测试环境</x:v>
      </x:c>
      <x:c r="G54" s="9" t="str">
        <x:v>1.使用当前受支持的Chrome、Edge、Firefox和Safari；
2.覆盖抓取管理、检索、详情、问答和学习管理；
3.比较结果。</x:v>
      </x:c>
      <x:c r="H54" s="9" t="str">
        <x:v>核心功能和交互一致可用；无阻塞性脚本错误；字体、图表和关系视图正常。</x:v>
      </x:c>
      <x:c r="I54" s="10"/>
      <x:c r="J54" s="10"/>
      <x:c r="K54" s="10"/>
      <x:c r="L54" s="10"/>
      <x:c r="M54" s="11" t="str">
        <x:v>需求追踪：NFR-1</x:v>
      </x:c>
    </x:row>
    <x:row r="55" ht="86" customHeight="1">
      <x:c r="A55" s="10" t="str">
        <x:v>TC-051</x:v>
      </x:c>
      <x:c r="B55" s="9" t="str">
        <x:v>响应式布局</x:v>
      </x:c>
      <x:c r="C55" s="10" t="str">
        <x:v>兼容性测试</x:v>
      </x:c>
      <x:c r="D55" s="9" t="str">
        <x:v>不同分辨率和尺寸下界面自适应</x:v>
      </x:c>
      <x:c r="E55" s="10" t="str">
        <x:v>高</x:v>
      </x:c>
      <x:c r="F55" s="9" t="str">
        <x:v>Web客户端可访问</x:v>
      </x:c>
      <x:c r="G55" s="9" t="str">
        <x:v>1.测试桌面1920×1080、笔记本1366×768、平板768×1024、手机390×844；
2.逐页检查；
3.横竖屏切换。</x:v>
      </x:c>
      <x:c r="H55" s="9" t="str">
        <x:v>无关键内容遮挡或横向溢出；导航可用；表格/图谱提供合理折叠、滚动或适配。</x:v>
      </x:c>
      <x:c r="I55" s="10"/>
      <x:c r="J55" s="10"/>
      <x:c r="K55" s="10"/>
      <x:c r="L55" s="10"/>
      <x:c r="M55" s="11" t="str">
        <x:v>需求追踪：NFR-2</x:v>
      </x:c>
    </x:row>
    <x:row r="56" ht="86" customHeight="1">
      <x:c r="A56" s="10" t="str">
        <x:v>TC-052</x:v>
      </x:c>
      <x:c r="B56" s="9" t="str">
        <x:v>缩放与高分屏</x:v>
      </x:c>
      <x:c r="C56" s="10" t="str">
        <x:v>兼容性测试</x:v>
      </x:c>
      <x:c r="D56" s="9" t="str">
        <x:v>浏览器缩放和高DPI下内容清晰可操作</x:v>
      </x:c>
      <x:c r="E56" s="10" t="str">
        <x:v>中</x:v>
      </x:c>
      <x:c r="F56" s="9" t="str">
        <x:v>准备普通屏和高DPI设备</x:v>
      </x:c>
      <x:c r="G56" s="9" t="str">
        <x:v>1.在80%、100%、125%、150%、200%缩放下访问核心页面；
2.检查文本、按钮和图谱；
3.执行键鼠操作。</x:v>
      </x:c>
      <x:c r="H56" s="9" t="str">
        <x:v>文本和图标清晰；控件不重叠；焦点与点击区域准确；核心流程可完成。</x:v>
      </x:c>
      <x:c r="I56" s="10"/>
      <x:c r="J56" s="10"/>
      <x:c r="K56" s="10"/>
      <x:c r="L56" s="10"/>
      <x:c r="M56" s="11" t="str">
        <x:v>需求追踪：NFR-2</x:v>
      </x:c>
    </x:row>
    <x:row r="57" ht="86" customHeight="1">
      <x:c r="A57" s="10" t="str">
        <x:v>TC-053</x:v>
      </x:c>
      <x:c r="B57" s="9" t="str">
        <x:v>状态反馈与空态</x:v>
      </x:c>
      <x:c r="C57" s="10" t="str">
        <x:v>易用性测试</x:v>
      </x:c>
      <x:c r="D57" s="9" t="str">
        <x:v>加载、成功、失败和无结果反馈清晰</x:v>
      </x:c>
      <x:c r="E57" s="10" t="str">
        <x:v>中</x:v>
      </x:c>
      <x:c r="F57" s="9" t="str">
        <x:v>系统可模拟慢请求与错误</x:v>
      </x:c>
      <x:c r="G57" s="9" t="str">
        <x:v>1.触发抓取、解析、检索和保存；
2.模拟失败与空结果；
3.观察提示和恢复入口。</x:v>
      </x:c>
      <x:c r="H57" s="9" t="str">
        <x:v>加载状态可见；成功/失败提示明确；空态给出下一步；失败操作可重试且不重复提交。</x:v>
      </x:c>
      <x:c r="I57" s="10"/>
      <x:c r="J57" s="10"/>
      <x:c r="K57" s="10"/>
      <x:c r="L57" s="10"/>
      <x:c r="M57" s="11" t="str">
        <x:v>需求追踪：FR-1~5</x:v>
      </x:c>
    </x:row>
    <x:row r="58" ht="86" customHeight="1">
      <x:c r="A58" s="10" t="str">
        <x:v>TC-054</x:v>
      </x:c>
      <x:c r="B58" s="9" t="str">
        <x:v>核心流程易用性</x:v>
      </x:c>
      <x:c r="C58" s="10" t="str">
        <x:v>易用性测试</x:v>
      </x:c>
      <x:c r="D58" s="9" t="str">
        <x:v>新用户无需培训可完成核心任务</x:v>
      </x:c>
      <x:c r="E58" s="10" t="str">
        <x:v>中</x:v>
      </x:c>
      <x:c r="F58" s="9" t="str">
        <x:v>准备未接触系统的目标用户</x:v>
      </x:c>
      <x:c r="G58" s="9" t="str">
        <x:v>1.让用户完成检索论文、查看解析、提问、收藏和记笔记；
2.记录完成率与障碍；
3.收集反馈。</x:v>
      </x:c>
      <x:c r="H58" s="9" t="str">
        <x:v>用户可依据界面文案完成任务；关键入口易发现；没有阻塞性理解歧义。</x:v>
      </x:c>
      <x:c r="I58" s="10"/>
      <x:c r="J58" s="10"/>
      <x:c r="K58" s="10"/>
      <x:c r="L58" s="10"/>
      <x:c r="M58" s="11" t="str">
        <x:v>需求追踪：NFR-1/2</x:v>
      </x:c>
    </x:row>
    <x:row r="59" ht="86" customHeight="1">
      <x:c r="A59" s="10" t="str">
        <x:v>TC-055</x:v>
      </x:c>
      <x:c r="B59" s="9" t="str">
        <x:v>首次部署</x:v>
      </x:c>
      <x:c r="C59" s="10" t="str">
        <x:v>部署测试</x:v>
      </x:c>
      <x:c r="D59" s="9" t="str">
        <x:v>按部署文档首次安装系统</x:v>
      </x:c>
      <x:c r="E59" s="10" t="str">
        <x:v>高</x:v>
      </x:c>
      <x:c r="F59" s="9" t="str">
        <x:v>干净服务器；配置、数据库和缓存服务可用</x:v>
      </x:c>
      <x:c r="G59" s="9" t="str">
        <x:v>1.配置环境变量；
2.安装前后端依赖并执行数据库迁移；
3.启动服务；
4.运行健康检查和冒烟测试。</x:v>
      </x:c>
      <x:c r="H59" s="9" t="str">
        <x:v>服务成功启动；数据库结构正确；Web可访问；抓取、检索、问答和学习管理冒烟通过。</x:v>
      </x:c>
      <x:c r="I59" s="10"/>
      <x:c r="J59" s="10"/>
      <x:c r="K59" s="10"/>
      <x:c r="L59" s="10"/>
      <x:c r="M59" s="11" t="str">
        <x:v>需求追踪：NFR-1</x:v>
      </x:c>
    </x:row>
    <x:row r="60" ht="86" customHeight="1">
      <x:c r="A60" s="10" t="str">
        <x:v>TC-056</x:v>
      </x:c>
      <x:c r="B60" s="9" t="str">
        <x:v>升级与回滚</x:v>
      </x:c>
      <x:c r="C60" s="10" t="str">
        <x:v>部署测试</x:v>
      </x:c>
      <x:c r="D60" s="9" t="str">
        <x:v>版本升级和失败回滚不丢失数据</x:v>
      </x:c>
      <x:c r="E60" s="10" t="str">
        <x:v>高</x:v>
      </x:c>
      <x:c r="F60" s="9" t="str">
        <x:v>已部署上一版本并准备测试数据</x:v>
      </x:c>
      <x:c r="G60" s="9" t="str">
        <x:v>1.备份数据；
2.执行升级和迁移；
3.验证数据与功能；
4.模拟升级失败并回滚。</x:v>
      </x:c>
      <x:c r="H60" s="9" t="str">
        <x:v>升级后历史论文和用户数据完整；迁移可审计；失败时可恢复到可用版本。</x:v>
      </x:c>
      <x:c r="I60" s="10"/>
      <x:c r="J60" s="10"/>
      <x:c r="K60" s="10"/>
      <x:c r="L60" s="10"/>
      <x:c r="M60" s="11" t="str">
        <x:v>需求追踪：FR-1~5</x:v>
      </x:c>
    </x:row>
  </x:sheetData>
  <x:mergeCells>
    <x:mergeCell ref="A1:M2"/>
  </x:mergeCells>
  <x:conditionalFormatting sqref="J5:J60">
    <x:cfRule type="containsText" dxfId="0" priority="1" operator="containsText" text="通过"/>
    <x:cfRule type="containsText" dxfId="1" priority="2" operator="containsText" text="不通过"/>
    <x:cfRule type="containsText" dxfId="2" priority="3" operator="containsText" text="阻塞"/>
  </x:conditionalFormatting>
  <x:dataValidations count="4">
    <x:dataValidation type="list" sqref="C5:C60">
      <x:formula1>"功能测试,准确性测试,性能测试,可靠性测试,安全性测试,兼容性测试,易用性测试,部署测试"</x:formula1>
    </x:dataValidation>
    <x:dataValidation type="list" sqref="E5:E60">
      <x:formula1>"高,中,低"</x:formula1>
    </x:dataValidation>
    <x:dataValidation type="list" sqref="J5:J60">
      <x:formula1>"通过,不通过,阻塞,未执行"</x:formula1>
    </x:dataValidation>
    <x:dataValidation type="list" sqref="K5:K60">
      <x:formula1>"致命,严重,一般,轻微,建议"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2.22000122070312" hidden="0" customWidth="1"/>
  </x:cols>
  <x:sheetData>
    <x:row r="1">
      <x:c r="A1" s="30" t="str">
        <x:v>测试类型</x:v>
      </x:c>
      <x:c r="B1" s="30" t="str">
        <x:v>常用测试方法</x:v>
      </x:c>
    </x:row>
    <x:row r="2" ht="52" customHeight="1">
      <x:c r="A2" s="61" t="str">
        <x:v>功能测试</x:v>
      </x:c>
      <x:c r="B2" s="26" t="str">
        <x:v>采用场景法覆盖主流程、备选流程和异常流程；结合等价类、边界值、判定表、错误猜测法验证输入输出。</x:v>
      </x:c>
    </x:row>
    <x:row r="3" ht="52" customHeight="1">
      <x:c r="A3" s="61" t="str">
        <x:v>准确性测试</x:v>
      </x:c>
      <x:c r="B3" s="26" t="str">
        <x:v>使用人工标注金标准数据集，按统一口径计算解析、检索、问答的准确率，并保留逐样本评分明细。</x:v>
      </x:c>
    </x:row>
    <x:row r="4" ht="52" customHeight="1">
      <x:c r="A4" s="61" t="str">
        <x:v>性能测试</x:v>
      </x:c>
      <x:c r="B4" s="26" t="str">
        <x:v>在规定数据量和并发数下使用压测工具统计响应时间、吞吐率、错误率及CPU、内存、网络资源。</x:v>
      </x:c>
    </x:row>
    <x:row r="5" ht="52" customHeight="1">
      <x:c r="A5" s="61" t="str">
        <x:v>可靠性测试</x:v>
      </x:c>
      <x:c r="B5" s="26" t="str">
        <x:v>通过重复投递、服务重启、依赖超时/限流等故障注入验证幂等、恢复、补偿和数据一致性。</x:v>
      </x:c>
    </x:row>
    <x:row r="6" ht="52" customHeight="1">
      <x:c r="A6" s="61" t="str">
        <x:v>安全性测试</x:v>
      </x:c>
      <x:c r="B6" s="26" t="str">
        <x:v>验证认证授权、用户数据隔离、输入注入、XSS、恶意文档解析及敏感错误信息泄露。</x:v>
      </x:c>
    </x:row>
    <x:row r="7" ht="52" customHeight="1">
      <x:c r="A7" s="61" t="str">
        <x:v>兼容性测试</x:v>
      </x:c>
      <x:c r="B7" s="26" t="str">
        <x:v>覆盖主流浏览器、桌面/平板/手机分辨率、横竖屏、浏览器缩放和高DPI显示。</x:v>
      </x:c>
    </x:row>
    <x:row r="8" ht="52" customHeight="1">
      <x:c r="A8" s="61" t="str">
        <x:v>易用性测试</x:v>
      </x:c>
      <x:c r="B8" s="26" t="str">
        <x:v>通过任务完成率、入口可发现性、状态反馈、错误恢复和新用户试用观察易理解、易学与易操作性。</x:v>
      </x:c>
    </x:row>
    <x:row r="9" ht="52" customHeight="1">
      <x:c r="A9" s="61" t="str">
        <x:v>部署测试</x:v>
      </x:c>
      <x:c r="B9" s="26" t="str">
        <x:v>执行首次部署、升级、迁移、健康检查、冒烟、备份和失败回滚验证。</x:v>
      </x:c>
    </x:row>
  </x:sheetData>
  <x:pageMargins left="0.7" right="0.7" top="0.75" bottom="0.75" header="0.3" footer="0.3"/>
</x:worksheet>
</file>